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um\Desktop\Travail\App\projectTest\projectTest\sqldb\createsqldatabase\"/>
    </mc:Choice>
  </mc:AlternateContent>
  <xr:revisionPtr revIDLastSave="0" documentId="13_ncr:1_{DED19616-1690-4EAA-A692-96FF1DCF4716}" xr6:coauthVersionLast="47" xr6:coauthVersionMax="47" xr10:uidLastSave="{00000000-0000-0000-0000-000000000000}"/>
  <bookViews>
    <workbookView xWindow="-110" yWindow="-110" windowWidth="19420" windowHeight="10420" xr2:uid="{B0C14F8A-3957-458D-984B-72154B29718E}"/>
  </bookViews>
  <sheets>
    <sheet name="Feuil1" sheetId="1" r:id="rId1"/>
    <sheet name="Feuil3" sheetId="3" r:id="rId2"/>
    <sheet name="Feuil2" sheetId="2" r:id="rId3"/>
  </sheets>
  <definedNames>
    <definedName name="_xlnm._FilterDatabase" localSheetId="2" hidden="1">Feuil2!$A$1:$B$308</definedName>
    <definedName name="_xlnm._FilterDatabase" localSheetId="1" hidden="1">Feuil3!$A$1:$B$307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1" l="1"/>
  <c r="F1" i="1"/>
  <c r="E1" i="1"/>
  <c r="D1" i="1"/>
  <c r="C1" i="1"/>
  <c r="B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Sreyleak Yen</author>
  </authors>
  <commentList>
    <comment ref="E76" authorId="0" shapeId="0" xr:uid="{497D5E90-BB27-4C4D-914B-90B076B98ABD}">
      <text>
        <r>
          <rPr>
            <b/>
            <sz val="9"/>
            <color indexed="81"/>
            <rFont val="Tahoma"/>
            <family val="2"/>
          </rPr>
          <t>Sreyleak Yen:</t>
        </r>
        <r>
          <rPr>
            <sz val="9"/>
            <color indexed="81"/>
            <rFont val="Tahoma"/>
            <family val="2"/>
          </rPr>
          <t xml:space="preserve">
Return back for PAC3 bag</t>
        </r>
      </text>
    </comment>
  </commentList>
</comments>
</file>

<file path=xl/sharedStrings.xml><?xml version="1.0" encoding="utf-8"?>
<sst xmlns="http://schemas.openxmlformats.org/spreadsheetml/2006/main" count="922" uniqueCount="308">
  <si>
    <t>A1</t>
  </si>
  <si>
    <t>A3</t>
  </si>
  <si>
    <t>B4</t>
  </si>
  <si>
    <t>B7</t>
  </si>
  <si>
    <t>C1</t>
  </si>
  <si>
    <t>C2</t>
  </si>
  <si>
    <t>C4</t>
  </si>
  <si>
    <t>C5</t>
  </si>
  <si>
    <t>C6</t>
  </si>
  <si>
    <t>C9</t>
  </si>
  <si>
    <t>C10</t>
  </si>
  <si>
    <t>C12</t>
  </si>
  <si>
    <t>D3</t>
  </si>
  <si>
    <t>D4</t>
  </si>
  <si>
    <t>D6</t>
  </si>
  <si>
    <t>D8</t>
  </si>
  <si>
    <t>D10</t>
  </si>
  <si>
    <t>D12</t>
  </si>
  <si>
    <t>E2</t>
  </si>
  <si>
    <t>E4</t>
  </si>
  <si>
    <t>E5</t>
  </si>
  <si>
    <t>E7</t>
  </si>
  <si>
    <t>E8</t>
  </si>
  <si>
    <t>E9</t>
  </si>
  <si>
    <t>E10</t>
  </si>
  <si>
    <t>E11</t>
  </si>
  <si>
    <t>E12</t>
  </si>
  <si>
    <t>E13</t>
  </si>
  <si>
    <t>E15</t>
  </si>
  <si>
    <t>E16</t>
  </si>
  <si>
    <t>E17</t>
  </si>
  <si>
    <t>E18</t>
  </si>
  <si>
    <t>E19</t>
  </si>
  <si>
    <t>E20</t>
  </si>
  <si>
    <t>F1</t>
  </si>
  <si>
    <t>F2</t>
  </si>
  <si>
    <t>F3</t>
  </si>
  <si>
    <t>F6</t>
  </si>
  <si>
    <t>F7</t>
  </si>
  <si>
    <t>F8</t>
  </si>
  <si>
    <t>F9</t>
  </si>
  <si>
    <t>F10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</si>
  <si>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</si>
  <si>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</si>
  <si>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</si>
  <si>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</si>
  <si>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</si>
  <si>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</si>
  <si>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</si>
  <si>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</si>
  <si>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</si>
  <si>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</si>
  <si>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</si>
  <si>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</si>
  <si>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</si>
  <si>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</si>
  <si>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</si>
  <si>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</si>
  <si>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</si>
  <si>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</si>
  <si>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</si>
  <si>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</si>
  <si>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</si>
  <si>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</si>
  <si>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</si>
  <si>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</si>
  <si>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</si>
  <si>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</si>
  <si>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</si>
  <si>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</si>
  <si>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</si>
  <si>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</si>
  <si>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</si>
  <si>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</si>
  <si>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</si>
  <si>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</si>
  <si>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</si>
  <si>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</si>
  <si>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</si>
  <si>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</si>
  <si>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</si>
  <si>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</si>
  <si>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</si>
  <si>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</si>
  <si>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</si>
  <si>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</si>
  <si>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</si>
  <si>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</si>
  <si>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</si>
  <si>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</si>
  <si>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</si>
  <si>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</si>
  <si>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</si>
  <si>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</si>
  <si>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</si>
  <si>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</si>
  <si>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</si>
  <si>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</si>
  <si>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</si>
  <si>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</si>
  <si>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</si>
  <si>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</si>
  <si>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</si>
  <si>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</si>
  <si>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</si>
  <si>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</si>
  <si>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</si>
  <si>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</si>
  <si>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</si>
  <si>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</si>
  <si>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</si>
  <si>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</si>
  <si>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</si>
  <si>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</si>
  <si>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</si>
  <si>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</si>
  <si>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</si>
  <si>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</si>
  <si>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</si>
  <si>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</si>
  <si>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</si>
  <si>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</si>
  <si>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</si>
  <si>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</si>
  <si>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</si>
  <si>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</si>
  <si>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</si>
  <si>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</si>
  <si>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</si>
  <si>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</si>
  <si>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</si>
  <si>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</si>
  <si>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</si>
  <si>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</si>
  <si>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</si>
  <si>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</si>
  <si>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</si>
  <si>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</si>
  <si>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</si>
  <si>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</si>
  <si>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</si>
  <si>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</si>
  <si>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</si>
  <si>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</si>
  <si>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</si>
  <si>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</si>
  <si>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</si>
  <si>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</si>
  <si>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</si>
  <si>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</si>
  <si>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</si>
  <si>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</si>
  <si>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</si>
  <si>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</si>
  <si>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</si>
  <si>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</si>
  <si>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</si>
  <si>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</si>
  <si>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</si>
  <si>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</si>
  <si>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</si>
  <si>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</si>
  <si>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</si>
  <si>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</si>
  <si>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</si>
  <si>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</si>
  <si>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</si>
  <si>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</si>
  <si>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</si>
  <si>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</si>
  <si>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</si>
  <si>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</si>
  <si>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</si>
  <si>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</si>
  <si>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</si>
  <si>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</si>
  <si>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</si>
  <si>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</si>
  <si>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</si>
  <si>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</si>
  <si>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</si>
  <si>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</si>
  <si>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</si>
  <si>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</si>
  <si>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</si>
  <si>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</si>
  <si>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</si>
  <si>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</si>
  <si>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</si>
  <si>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</si>
  <si>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</si>
  <si>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</si>
  <si>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</si>
  <si>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</si>
  <si>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</si>
  <si>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</si>
  <si>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</si>
  <si>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</si>
  <si>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</si>
  <si>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</si>
  <si>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</si>
  <si>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</si>
  <si>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</si>
  <si>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</si>
  <si>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</si>
  <si>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</si>
  <si>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</si>
  <si>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</si>
  <si>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</si>
  <si>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</si>
  <si>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</si>
  <si>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</si>
  <si>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</si>
  <si>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</si>
  <si>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</si>
  <si>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</si>
  <si>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</si>
  <si>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</si>
  <si>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</si>
  <si>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</si>
  <si>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</si>
  <si>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</si>
  <si>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</si>
  <si>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</si>
  <si>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</si>
  <si>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</si>
  <si>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</si>
  <si>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</si>
  <si>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</si>
  <si>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</si>
  <si>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</si>
  <si>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</si>
  <si>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</si>
  <si>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</si>
  <si>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</si>
  <si>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</si>
  <si>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</si>
  <si>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</si>
  <si>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</si>
  <si>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</si>
  <si>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</si>
  <si>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</si>
  <si>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</si>
  <si>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</si>
  <si>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</si>
  <si>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</si>
  <si>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</si>
  <si>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</si>
  <si>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</si>
  <si>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N1</t>
  </si>
  <si>
    <t>N2</t>
  </si>
  <si>
    <t>N3</t>
  </si>
  <si>
    <t>N5</t>
  </si>
  <si>
    <t>N6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</si>
  <si>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</si>
  <si>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</si>
  <si>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</si>
  <si>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</si>
  <si>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</si>
  <si>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</si>
  <si>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</si>
  <si>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</si>
  <si>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</si>
  <si>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</si>
  <si>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</si>
  <si>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</si>
  <si>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</si>
  <si>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</si>
  <si>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</si>
  <si>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</si>
  <si>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</si>
  <si>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</si>
  <si>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</si>
  <si>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</si>
  <si>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</si>
  <si>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</si>
  <si>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</si>
  <si>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</si>
  <si>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</si>
  <si>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</si>
  <si>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</si>
  <si>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</si>
  <si>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</si>
  <si>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</si>
  <si>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</si>
  <si>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</si>
  <si>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</si>
  <si>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</si>
  <si>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</si>
  <si>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</si>
  <si>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</si>
  <si>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</si>
  <si>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</si>
  <si>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</si>
  <si>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</si>
  <si>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</si>
  <si>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</si>
  <si>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Site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</si>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</sst>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0" borderId="2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0" fillId="0" borderId="0" xfId="0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2429-1C8E-468D-9809-F1A88736A59D}">
  <dimension ref="A1:G308"/>
  <sheetViews>
    <sheetView tabSelected="1" topLeftCell="A313" workbookViewId="0">
      <selection activeCell="H305" sqref="H305"/>
    </sheetView>
  </sheetViews>
  <sheetFormatPr baseColWidth="10" defaultRowHeight="14.5" x14ac:dyDescent="0.35"/>
  <cols>
    <col min="1" max="4" width="10.90625" style="10"/>
  </cols>
  <sheetData>
    <row r="1" spans="1:7" x14ac:dyDescent="0.35">
      <c r="A1" s="10" t="s">
        <v>297</v>
      </c>
      <c r="B1" s="11">
        <f>DATE(2021,1,1)</f>
        <v>44197</v>
      </c>
      <c r="C1" s="11">
        <f>DATE(2021,2,1)</f>
        <v>44228</v>
      </c>
      <c r="D1" s="11">
        <f>DATE(2021,3,1)</f>
        <v>44256</v>
      </c>
      <c r="E1" s="11">
        <f>DATE(2021,4,1)</f>
        <v>44287</v>
      </c>
      <c r="F1" s="11">
        <f>DATE(2021,5,1)</f>
        <v>44317</v>
      </c>
      <c r="G1" s="11">
        <f>DATE(2021,6,1)</f>
        <v>44348</v>
      </c>
    </row>
    <row r="2" spans="1:7" x14ac:dyDescent="0.35">
      <c r="A2" s="10" t="s">
        <v>0</v>
      </c>
      <c r="B2" s="10">
        <v>0</v>
      </c>
      <c r="C2" s="10">
        <v>0</v>
      </c>
      <c r="D2" s="10">
        <v>0</v>
      </c>
      <c r="E2" s="1">
        <v>-100</v>
      </c>
      <c r="F2">
        <v>-100</v>
      </c>
      <c r="G2">
        <v>0</v>
      </c>
    </row>
    <row r="3" spans="1:7" x14ac:dyDescent="0.35">
      <c r="A3" s="10" t="s">
        <v>1</v>
      </c>
      <c r="B3" s="10">
        <v>0</v>
      </c>
      <c r="C3" s="10">
        <v>-100</v>
      </c>
      <c r="D3" s="10">
        <v>-100</v>
      </c>
      <c r="E3" s="2">
        <v>-228100</v>
      </c>
      <c r="F3">
        <v>-228100</v>
      </c>
      <c r="G3">
        <v>-228100</v>
      </c>
    </row>
    <row r="4" spans="1:7" x14ac:dyDescent="0.35">
      <c r="A4" s="10" t="s">
        <v>2</v>
      </c>
      <c r="B4" s="10">
        <v>0</v>
      </c>
      <c r="C4" s="10">
        <v>100</v>
      </c>
      <c r="D4" s="10">
        <v>100</v>
      </c>
      <c r="E4" s="2">
        <v>100</v>
      </c>
      <c r="F4">
        <v>100</v>
      </c>
      <c r="G4">
        <v>0</v>
      </c>
    </row>
    <row r="5" spans="1:7" x14ac:dyDescent="0.35">
      <c r="A5" s="10" t="s">
        <v>3</v>
      </c>
      <c r="B5" s="10">
        <v>127700</v>
      </c>
      <c r="C5" s="10">
        <v>873500</v>
      </c>
      <c r="D5" s="10">
        <v>917100</v>
      </c>
      <c r="E5" s="2">
        <v>917900</v>
      </c>
      <c r="F5">
        <v>917600</v>
      </c>
      <c r="G5">
        <v>917600</v>
      </c>
    </row>
    <row r="6" spans="1:7" x14ac:dyDescent="0.35">
      <c r="A6" s="10" t="s">
        <v>4</v>
      </c>
      <c r="B6" s="10">
        <v>-5312000</v>
      </c>
      <c r="C6" s="10">
        <v>-4617400</v>
      </c>
      <c r="D6" s="10">
        <v>-4647900</v>
      </c>
      <c r="E6" s="2">
        <v>-4694700</v>
      </c>
      <c r="F6">
        <v>-4794700</v>
      </c>
      <c r="G6">
        <v>-4794700</v>
      </c>
    </row>
    <row r="7" spans="1:7" x14ac:dyDescent="0.35">
      <c r="A7" s="10" t="s">
        <v>10</v>
      </c>
      <c r="B7" s="10">
        <v>0</v>
      </c>
      <c r="C7" s="10">
        <v>0</v>
      </c>
      <c r="D7" s="10">
        <v>0</v>
      </c>
      <c r="E7" s="2">
        <v>0</v>
      </c>
      <c r="F7">
        <v>0</v>
      </c>
      <c r="G7">
        <v>0</v>
      </c>
    </row>
    <row r="8" spans="1:7" x14ac:dyDescent="0.35">
      <c r="A8" s="10" t="s">
        <v>11</v>
      </c>
      <c r="B8" s="10">
        <v>0</v>
      </c>
      <c r="C8" s="10">
        <v>0</v>
      </c>
      <c r="D8" s="10">
        <v>0</v>
      </c>
      <c r="E8" s="2">
        <v>-50000</v>
      </c>
      <c r="F8">
        <v>-50000</v>
      </c>
      <c r="G8">
        <v>-50000</v>
      </c>
    </row>
    <row r="9" spans="1:7" x14ac:dyDescent="0.35">
      <c r="A9" s="10" t="s">
        <v>5</v>
      </c>
      <c r="B9" s="10">
        <v>-612400</v>
      </c>
      <c r="C9" s="10">
        <v>-714800</v>
      </c>
      <c r="D9" s="10">
        <v>-714800</v>
      </c>
      <c r="E9" s="2">
        <v>-714800</v>
      </c>
      <c r="F9">
        <v>-714800</v>
      </c>
      <c r="G9">
        <v>-714800</v>
      </c>
    </row>
    <row r="10" spans="1:7" x14ac:dyDescent="0.35">
      <c r="A10" s="10" t="s">
        <v>6</v>
      </c>
      <c r="B10" s="10">
        <v>200000</v>
      </c>
      <c r="C10" s="10">
        <v>1213000</v>
      </c>
      <c r="D10" s="10">
        <v>977700</v>
      </c>
      <c r="E10" s="2">
        <v>1291700</v>
      </c>
      <c r="F10">
        <v>2763300</v>
      </c>
      <c r="G10">
        <v>2763500</v>
      </c>
    </row>
    <row r="11" spans="1:7" x14ac:dyDescent="0.35">
      <c r="A11" s="10" t="s">
        <v>7</v>
      </c>
      <c r="B11" s="10">
        <v>0</v>
      </c>
      <c r="C11" s="10">
        <v>0</v>
      </c>
      <c r="D11" s="10">
        <v>0</v>
      </c>
      <c r="E11" s="2">
        <v>0</v>
      </c>
      <c r="F11">
        <v>0</v>
      </c>
      <c r="G11">
        <v>0</v>
      </c>
    </row>
    <row r="12" spans="1:7" x14ac:dyDescent="0.35">
      <c r="A12" s="10" t="s">
        <v>8</v>
      </c>
      <c r="B12" s="10">
        <v>-313500</v>
      </c>
      <c r="C12" s="10">
        <v>-214200</v>
      </c>
      <c r="D12" s="10">
        <v>-314200</v>
      </c>
      <c r="E12" s="2">
        <v>-172600</v>
      </c>
      <c r="F12">
        <v>0</v>
      </c>
      <c r="G12">
        <v>-358900</v>
      </c>
    </row>
    <row r="13" spans="1:7" x14ac:dyDescent="0.35">
      <c r="A13" s="10" t="s">
        <v>9</v>
      </c>
      <c r="B13" s="10">
        <v>-2606100</v>
      </c>
      <c r="C13" s="10">
        <v>-2614500</v>
      </c>
      <c r="D13" s="10">
        <v>-2614500</v>
      </c>
      <c r="E13" s="2">
        <v>-2614500</v>
      </c>
      <c r="F13">
        <v>-2614500</v>
      </c>
      <c r="G13">
        <v>-2614400</v>
      </c>
    </row>
    <row r="14" spans="1:7" x14ac:dyDescent="0.35">
      <c r="A14" s="10" t="s">
        <v>16</v>
      </c>
      <c r="B14" s="10">
        <v>0</v>
      </c>
      <c r="C14" s="10">
        <v>0</v>
      </c>
      <c r="D14" s="10">
        <v>0</v>
      </c>
      <c r="E14" s="2">
        <v>0</v>
      </c>
      <c r="F14">
        <v>0</v>
      </c>
      <c r="G14">
        <v>0</v>
      </c>
    </row>
    <row r="15" spans="1:7" x14ac:dyDescent="0.35">
      <c r="A15" s="10" t="s">
        <v>17</v>
      </c>
      <c r="B15" s="10">
        <v>-973000</v>
      </c>
      <c r="C15" s="10">
        <v>-976200</v>
      </c>
      <c r="D15" s="10">
        <v>-1016800</v>
      </c>
      <c r="E15" s="2">
        <v>-380300</v>
      </c>
      <c r="F15">
        <v>0</v>
      </c>
      <c r="G15">
        <v>0</v>
      </c>
    </row>
    <row r="16" spans="1:7" x14ac:dyDescent="0.35">
      <c r="A16" s="10" t="s">
        <v>12</v>
      </c>
      <c r="B16" s="10">
        <v>-150800</v>
      </c>
      <c r="C16" s="10">
        <v>-151300</v>
      </c>
      <c r="D16" s="10">
        <v>-151300</v>
      </c>
      <c r="E16" s="2">
        <v>-151300</v>
      </c>
      <c r="F16">
        <v>168200</v>
      </c>
      <c r="G16">
        <v>168300</v>
      </c>
    </row>
    <row r="17" spans="1:7" x14ac:dyDescent="0.35">
      <c r="A17" s="10" t="s">
        <v>13</v>
      </c>
      <c r="B17" s="10">
        <v>-2981100</v>
      </c>
      <c r="C17" s="10">
        <v>-2729100</v>
      </c>
      <c r="D17" s="10">
        <v>-1905300</v>
      </c>
      <c r="E17" s="2">
        <v>-1905400</v>
      </c>
      <c r="F17">
        <v>-1905400</v>
      </c>
      <c r="G17">
        <v>-1905400</v>
      </c>
    </row>
    <row r="18" spans="1:7" x14ac:dyDescent="0.35">
      <c r="A18" s="10" t="s">
        <v>14</v>
      </c>
      <c r="B18" s="10">
        <v>-2999900</v>
      </c>
      <c r="C18" s="10">
        <v>-3009600</v>
      </c>
      <c r="D18" s="10">
        <v>-3009600</v>
      </c>
      <c r="E18" s="3">
        <v>-2145600</v>
      </c>
      <c r="F18">
        <v>-512900</v>
      </c>
      <c r="G18">
        <v>-512900</v>
      </c>
    </row>
    <row r="19" spans="1:7" x14ac:dyDescent="0.35">
      <c r="A19" s="10" t="s">
        <v>15</v>
      </c>
      <c r="B19" s="10">
        <v>381700</v>
      </c>
      <c r="C19" s="10">
        <v>362000</v>
      </c>
      <c r="D19" s="10">
        <v>222500</v>
      </c>
      <c r="E19" s="2">
        <v>0</v>
      </c>
      <c r="F19">
        <v>0</v>
      </c>
      <c r="G19">
        <v>0</v>
      </c>
    </row>
    <row r="20" spans="1:7" x14ac:dyDescent="0.35">
      <c r="A20" s="10" t="s">
        <v>24</v>
      </c>
      <c r="B20" s="10">
        <v>-4400000</v>
      </c>
      <c r="C20" s="10">
        <v>-3028600</v>
      </c>
      <c r="D20" s="10">
        <v>-3028600</v>
      </c>
      <c r="E20" s="4">
        <v>-4400000</v>
      </c>
      <c r="F20">
        <v>-3242000</v>
      </c>
      <c r="G20">
        <v>-3242100</v>
      </c>
    </row>
    <row r="21" spans="1:7" x14ac:dyDescent="0.35">
      <c r="A21" s="10" t="s">
        <v>25</v>
      </c>
      <c r="B21" s="10">
        <v>-3000100</v>
      </c>
      <c r="C21" s="10">
        <v>-3009800</v>
      </c>
      <c r="D21" s="10">
        <v>-2009800</v>
      </c>
      <c r="E21" s="4">
        <v>-2409800</v>
      </c>
      <c r="F21">
        <v>-2709800</v>
      </c>
      <c r="G21">
        <v>-2709800</v>
      </c>
    </row>
    <row r="22" spans="1:7" x14ac:dyDescent="0.35">
      <c r="A22" s="10" t="s">
        <v>26</v>
      </c>
      <c r="B22" s="10">
        <v>-100</v>
      </c>
      <c r="C22" s="10">
        <v>1286200</v>
      </c>
      <c r="D22" s="10">
        <v>513500</v>
      </c>
      <c r="E22" s="2">
        <v>-574600</v>
      </c>
      <c r="F22">
        <v>850900</v>
      </c>
      <c r="G22">
        <v>851500</v>
      </c>
    </row>
    <row r="23" spans="1:7" x14ac:dyDescent="0.35">
      <c r="A23" s="10" t="s">
        <v>27</v>
      </c>
      <c r="B23" s="10">
        <v>-2084800</v>
      </c>
      <c r="C23" s="10">
        <v>-2091500</v>
      </c>
      <c r="D23" s="10">
        <v>-2091500</v>
      </c>
      <c r="E23" s="2">
        <v>-2091600</v>
      </c>
      <c r="F23">
        <v>-2091600</v>
      </c>
      <c r="G23">
        <v>-2091600</v>
      </c>
    </row>
    <row r="24" spans="1:7" x14ac:dyDescent="0.35">
      <c r="A24" s="10" t="s">
        <v>28</v>
      </c>
      <c r="B24" s="10">
        <v>-698600</v>
      </c>
      <c r="C24" s="10">
        <v>-100</v>
      </c>
      <c r="D24" s="10">
        <v>-2000</v>
      </c>
      <c r="E24" s="2">
        <v>263500</v>
      </c>
      <c r="F24">
        <v>200000</v>
      </c>
      <c r="G24">
        <v>200100</v>
      </c>
    </row>
    <row r="25" spans="1:7" x14ac:dyDescent="0.35">
      <c r="A25" s="10" t="s">
        <v>29</v>
      </c>
      <c r="B25" s="10">
        <v>940000</v>
      </c>
      <c r="C25" s="10">
        <v>1617400</v>
      </c>
      <c r="D25" s="10">
        <v>1272600</v>
      </c>
      <c r="E25" s="2">
        <v>1000000</v>
      </c>
      <c r="F25">
        <v>999700</v>
      </c>
      <c r="G25">
        <v>999700</v>
      </c>
    </row>
    <row r="26" spans="1:7" x14ac:dyDescent="0.35">
      <c r="A26" s="10" t="s">
        <v>30</v>
      </c>
      <c r="B26" s="10">
        <v>-6161200</v>
      </c>
      <c r="C26" s="10">
        <v>-6181000</v>
      </c>
      <c r="D26" s="10">
        <v>-6181000</v>
      </c>
      <c r="E26" s="2">
        <v>-6181000</v>
      </c>
      <c r="F26">
        <v>-6181000</v>
      </c>
      <c r="G26">
        <v>-6181000</v>
      </c>
    </row>
    <row r="27" spans="1:7" x14ac:dyDescent="0.35">
      <c r="A27" s="10" t="s">
        <v>31</v>
      </c>
      <c r="B27" s="10">
        <v>-714900</v>
      </c>
      <c r="C27" s="10">
        <v>-198500</v>
      </c>
      <c r="D27" s="10">
        <v>-244800</v>
      </c>
      <c r="E27" s="2">
        <v>-154800</v>
      </c>
      <c r="F27">
        <v>0</v>
      </c>
      <c r="G27">
        <v>0</v>
      </c>
    </row>
    <row r="28" spans="1:7" x14ac:dyDescent="0.35">
      <c r="A28" s="10" t="s">
        <v>32</v>
      </c>
      <c r="B28" s="10">
        <v>3148100</v>
      </c>
      <c r="C28" s="10">
        <v>-134000</v>
      </c>
      <c r="D28" s="10">
        <v>-513000</v>
      </c>
      <c r="E28" s="2">
        <v>-513000</v>
      </c>
      <c r="F28">
        <v>-513000</v>
      </c>
      <c r="G28">
        <v>-513000</v>
      </c>
    </row>
    <row r="29" spans="1:7" x14ac:dyDescent="0.35">
      <c r="A29" s="10" t="s">
        <v>18</v>
      </c>
      <c r="B29" s="10">
        <v>1000000</v>
      </c>
      <c r="C29" s="10">
        <v>1073700</v>
      </c>
      <c r="D29" s="10">
        <v>1542100</v>
      </c>
      <c r="E29" s="2">
        <v>1894500</v>
      </c>
      <c r="F29">
        <v>2390700</v>
      </c>
      <c r="G29">
        <v>2390700</v>
      </c>
    </row>
    <row r="30" spans="1:7" x14ac:dyDescent="0.35">
      <c r="A30" s="10" t="s">
        <v>33</v>
      </c>
      <c r="B30" s="10">
        <v>-1172900</v>
      </c>
      <c r="C30" s="10">
        <v>-771900</v>
      </c>
      <c r="D30" s="10">
        <v>-1900</v>
      </c>
      <c r="E30" s="2">
        <v>200100</v>
      </c>
      <c r="F30">
        <v>206400</v>
      </c>
      <c r="G30">
        <v>206500</v>
      </c>
    </row>
    <row r="31" spans="1:7" x14ac:dyDescent="0.35">
      <c r="A31" s="10" t="s">
        <v>19</v>
      </c>
      <c r="B31" s="10">
        <v>3093700</v>
      </c>
      <c r="C31" s="10">
        <v>3265000</v>
      </c>
      <c r="D31" s="10">
        <v>3095700</v>
      </c>
      <c r="E31" s="2">
        <v>3579200</v>
      </c>
      <c r="F31">
        <v>4032300</v>
      </c>
      <c r="G31">
        <v>4032200</v>
      </c>
    </row>
    <row r="32" spans="1:7" x14ac:dyDescent="0.35">
      <c r="A32" s="10" t="s">
        <v>20</v>
      </c>
      <c r="B32" s="10">
        <v>492200</v>
      </c>
      <c r="C32" s="10">
        <v>-100</v>
      </c>
      <c r="D32" s="10">
        <v>-100</v>
      </c>
      <c r="E32" s="2">
        <v>-100</v>
      </c>
      <c r="F32">
        <v>-100</v>
      </c>
      <c r="G32">
        <v>0</v>
      </c>
    </row>
    <row r="33" spans="1:7" x14ac:dyDescent="0.35">
      <c r="A33" s="10" t="s">
        <v>21</v>
      </c>
      <c r="B33" s="10">
        <v>-4400500</v>
      </c>
      <c r="C33" s="10">
        <v>-4414600</v>
      </c>
      <c r="D33" s="10">
        <v>-4414600</v>
      </c>
      <c r="E33" s="2">
        <v>-4414600</v>
      </c>
      <c r="F33">
        <v>-3325800</v>
      </c>
      <c r="G33">
        <v>-3325800</v>
      </c>
    </row>
    <row r="34" spans="1:7" x14ac:dyDescent="0.35">
      <c r="A34" s="10" t="s">
        <v>22</v>
      </c>
      <c r="B34" s="10">
        <v>-1153900</v>
      </c>
      <c r="C34" s="10">
        <v>-225900</v>
      </c>
      <c r="D34" s="10">
        <v>-225900</v>
      </c>
      <c r="E34" s="2">
        <v>-225900</v>
      </c>
      <c r="F34">
        <v>-225900</v>
      </c>
      <c r="G34">
        <v>-225900</v>
      </c>
    </row>
    <row r="35" spans="1:7" x14ac:dyDescent="0.35">
      <c r="A35" s="10" t="s">
        <v>23</v>
      </c>
      <c r="B35" s="10">
        <v>2187200</v>
      </c>
      <c r="C35" s="10">
        <v>-200000</v>
      </c>
      <c r="D35" s="10">
        <v>-456200</v>
      </c>
      <c r="E35" s="2">
        <v>-456200</v>
      </c>
      <c r="F35">
        <v>-656200</v>
      </c>
      <c r="G35">
        <v>-656100</v>
      </c>
    </row>
    <row r="36" spans="1:7" x14ac:dyDescent="0.35">
      <c r="A36" s="10" t="s">
        <v>34</v>
      </c>
      <c r="B36" s="10">
        <v>1456600</v>
      </c>
      <c r="C36" s="10">
        <v>-100</v>
      </c>
      <c r="D36" s="10">
        <v>-100</v>
      </c>
      <c r="E36" s="5">
        <v>-100</v>
      </c>
      <c r="F36">
        <v>1233100</v>
      </c>
      <c r="G36">
        <v>1233200</v>
      </c>
    </row>
    <row r="37" spans="1:7" x14ac:dyDescent="0.35">
      <c r="A37" s="10" t="s">
        <v>41</v>
      </c>
      <c r="B37" s="10">
        <v>-354700</v>
      </c>
      <c r="C37" s="10">
        <v>-100</v>
      </c>
      <c r="D37" s="10">
        <v>-10100</v>
      </c>
      <c r="E37" s="2">
        <v>-10100</v>
      </c>
      <c r="F37">
        <v>-10100</v>
      </c>
      <c r="G37">
        <v>-10100</v>
      </c>
    </row>
    <row r="38" spans="1:7" x14ac:dyDescent="0.35">
      <c r="A38" s="10" t="s">
        <v>35</v>
      </c>
      <c r="B38" s="10">
        <v>-3545300</v>
      </c>
      <c r="C38" s="10">
        <v>-3556700</v>
      </c>
      <c r="D38" s="10">
        <v>-3556700</v>
      </c>
      <c r="E38" s="6">
        <v>-2756700</v>
      </c>
      <c r="F38">
        <v>-2756700</v>
      </c>
      <c r="G38">
        <v>-2756700</v>
      </c>
    </row>
    <row r="39" spans="1:7" x14ac:dyDescent="0.35">
      <c r="A39" s="10" t="s">
        <v>36</v>
      </c>
      <c r="B39" s="10">
        <v>-100</v>
      </c>
      <c r="C39" s="10">
        <v>-100</v>
      </c>
      <c r="D39" s="10">
        <v>499900</v>
      </c>
      <c r="E39" s="2">
        <v>500000</v>
      </c>
      <c r="F39">
        <v>1300000</v>
      </c>
      <c r="G39">
        <v>1300100</v>
      </c>
    </row>
    <row r="40" spans="1:7" x14ac:dyDescent="0.35">
      <c r="A40" s="10" t="s">
        <v>37</v>
      </c>
      <c r="B40" s="10">
        <v>1082000</v>
      </c>
      <c r="C40" s="10">
        <v>1552700</v>
      </c>
      <c r="D40" s="10">
        <v>1356200</v>
      </c>
      <c r="E40" s="2">
        <v>924100</v>
      </c>
      <c r="F40">
        <v>1657600</v>
      </c>
      <c r="G40">
        <v>1657600</v>
      </c>
    </row>
    <row r="41" spans="1:7" x14ac:dyDescent="0.35">
      <c r="A41" s="10" t="s">
        <v>38</v>
      </c>
      <c r="B41" s="10">
        <v>-3829300</v>
      </c>
      <c r="C41" s="10">
        <v>-3219900</v>
      </c>
      <c r="D41" s="10">
        <v>-3219900</v>
      </c>
      <c r="E41" s="2">
        <v>-5157400</v>
      </c>
      <c r="F41">
        <v>-5157400</v>
      </c>
      <c r="G41">
        <v>-5157400</v>
      </c>
    </row>
    <row r="42" spans="1:7" x14ac:dyDescent="0.35">
      <c r="A42" s="10" t="s">
        <v>39</v>
      </c>
      <c r="B42" s="10">
        <v>-568300</v>
      </c>
      <c r="C42" s="10">
        <v>287900</v>
      </c>
      <c r="D42" s="10">
        <v>-44200</v>
      </c>
      <c r="E42" s="2">
        <v>-91000</v>
      </c>
      <c r="F42">
        <v>0</v>
      </c>
      <c r="G42">
        <v>0</v>
      </c>
    </row>
    <row r="43" spans="1:7" x14ac:dyDescent="0.35">
      <c r="A43" s="10" t="s">
        <v>40</v>
      </c>
      <c r="B43" s="10">
        <v>0</v>
      </c>
      <c r="C43" s="10">
        <v>811100</v>
      </c>
      <c r="D43" s="10">
        <v>500000</v>
      </c>
      <c r="E43" s="2">
        <v>1301900</v>
      </c>
      <c r="F43">
        <v>550000</v>
      </c>
      <c r="G43">
        <v>550000</v>
      </c>
    </row>
    <row r="44" spans="1:7" x14ac:dyDescent="0.35">
      <c r="A44" s="10" t="s">
        <v>42</v>
      </c>
      <c r="B44" s="10">
        <v>0</v>
      </c>
      <c r="C44" s="10">
        <v>100</v>
      </c>
      <c r="D44" s="10">
        <v>100</v>
      </c>
      <c r="E44" s="2">
        <v>100</v>
      </c>
      <c r="F44">
        <v>100</v>
      </c>
      <c r="G44">
        <v>0</v>
      </c>
    </row>
    <row r="45" spans="1:7" x14ac:dyDescent="0.35">
      <c r="A45" s="10" t="s">
        <v>51</v>
      </c>
      <c r="B45" s="10">
        <v>1401100</v>
      </c>
      <c r="C45" s="10">
        <v>1593000</v>
      </c>
      <c r="D45" s="10">
        <v>2093000</v>
      </c>
      <c r="E45" s="2">
        <v>2595200</v>
      </c>
      <c r="F45">
        <v>2495200</v>
      </c>
      <c r="G45">
        <v>2495200</v>
      </c>
    </row>
    <row r="46" spans="1:7" x14ac:dyDescent="0.35">
      <c r="A46" s="10" t="s">
        <v>52</v>
      </c>
      <c r="B46" s="10">
        <v>-2125600</v>
      </c>
      <c r="C46" s="10">
        <v>-100</v>
      </c>
      <c r="D46" s="10">
        <v>-100</v>
      </c>
      <c r="E46" s="2">
        <v>-100</v>
      </c>
      <c r="F46">
        <v>-100</v>
      </c>
      <c r="G46">
        <v>0</v>
      </c>
    </row>
    <row r="47" spans="1:7" x14ac:dyDescent="0.35">
      <c r="A47" s="10" t="s">
        <v>53</v>
      </c>
      <c r="B47" s="10">
        <v>1327600</v>
      </c>
      <c r="C47" s="10">
        <v>1030900</v>
      </c>
      <c r="D47" s="10">
        <v>1030900</v>
      </c>
      <c r="E47" s="2">
        <v>2030900</v>
      </c>
      <c r="F47">
        <v>2677300</v>
      </c>
      <c r="G47">
        <v>2677400</v>
      </c>
    </row>
    <row r="48" spans="1:7" x14ac:dyDescent="0.35">
      <c r="A48" s="10" t="s">
        <v>54</v>
      </c>
      <c r="B48" s="10">
        <v>-692300</v>
      </c>
      <c r="C48" s="10">
        <v>-60800</v>
      </c>
      <c r="D48" s="10">
        <v>-98100</v>
      </c>
      <c r="E48" s="2">
        <v>792700</v>
      </c>
      <c r="F48">
        <v>792700</v>
      </c>
      <c r="G48">
        <v>792800</v>
      </c>
    </row>
    <row r="49" spans="1:7" x14ac:dyDescent="0.35">
      <c r="A49" s="10" t="s">
        <v>55</v>
      </c>
      <c r="B49" s="10">
        <v>2600800</v>
      </c>
      <c r="C49" s="10">
        <v>3096200</v>
      </c>
      <c r="D49" s="10">
        <v>2638800</v>
      </c>
      <c r="E49" s="2">
        <v>2621700</v>
      </c>
      <c r="F49">
        <v>2604100</v>
      </c>
      <c r="G49">
        <v>2604100</v>
      </c>
    </row>
    <row r="50" spans="1:7" x14ac:dyDescent="0.35">
      <c r="A50" s="10" t="s">
        <v>56</v>
      </c>
      <c r="B50" s="10">
        <v>-1631100</v>
      </c>
      <c r="C50" s="10">
        <v>2145200</v>
      </c>
      <c r="D50" s="10">
        <v>2946300</v>
      </c>
      <c r="E50" s="2">
        <v>2516300</v>
      </c>
      <c r="F50">
        <v>2516300</v>
      </c>
      <c r="G50">
        <v>2516200</v>
      </c>
    </row>
    <row r="51" spans="1:7" x14ac:dyDescent="0.35">
      <c r="A51" s="10" t="s">
        <v>57</v>
      </c>
      <c r="B51" s="10">
        <v>799400</v>
      </c>
      <c r="C51" s="10">
        <v>100</v>
      </c>
      <c r="D51" s="10">
        <v>100</v>
      </c>
      <c r="E51" s="2">
        <v>100</v>
      </c>
      <c r="F51">
        <v>100</v>
      </c>
      <c r="G51">
        <v>0</v>
      </c>
    </row>
    <row r="52" spans="1:7" x14ac:dyDescent="0.35">
      <c r="A52" s="10" t="s">
        <v>58</v>
      </c>
      <c r="B52" s="10">
        <v>0</v>
      </c>
      <c r="C52" s="10">
        <v>501300</v>
      </c>
      <c r="D52" s="10">
        <v>680000</v>
      </c>
      <c r="E52" s="2">
        <v>1500500</v>
      </c>
      <c r="F52">
        <v>2006200</v>
      </c>
      <c r="G52">
        <v>2006200</v>
      </c>
    </row>
    <row r="53" spans="1:7" x14ac:dyDescent="0.35">
      <c r="A53" s="10" t="s">
        <v>59</v>
      </c>
      <c r="B53" s="10">
        <v>-78400</v>
      </c>
      <c r="C53" s="10">
        <v>-78700</v>
      </c>
      <c r="D53" s="10">
        <v>-78700</v>
      </c>
      <c r="E53" s="4">
        <v>401000</v>
      </c>
      <c r="F53">
        <v>880700</v>
      </c>
      <c r="G53">
        <v>880800</v>
      </c>
    </row>
    <row r="54" spans="1:7" x14ac:dyDescent="0.35">
      <c r="A54" s="10" t="s">
        <v>60</v>
      </c>
      <c r="B54" s="10">
        <v>-475700</v>
      </c>
      <c r="C54" s="10">
        <v>-82100</v>
      </c>
      <c r="D54" s="10">
        <v>184300</v>
      </c>
      <c r="E54" s="2">
        <v>440500</v>
      </c>
      <c r="F54">
        <v>1717200</v>
      </c>
      <c r="G54">
        <v>1717100</v>
      </c>
    </row>
    <row r="55" spans="1:7" x14ac:dyDescent="0.35">
      <c r="A55" s="10" t="s">
        <v>43</v>
      </c>
      <c r="B55" s="10">
        <v>600000</v>
      </c>
      <c r="C55" s="10">
        <v>674300</v>
      </c>
      <c r="D55" s="10">
        <v>432400</v>
      </c>
      <c r="E55" s="2">
        <v>407900</v>
      </c>
      <c r="F55">
        <v>693500</v>
      </c>
      <c r="G55">
        <v>693500</v>
      </c>
    </row>
    <row r="56" spans="1:7" x14ac:dyDescent="0.35">
      <c r="A56" s="10" t="s">
        <v>61</v>
      </c>
      <c r="B56" s="10">
        <v>-910900</v>
      </c>
      <c r="C56" s="10">
        <v>-295600</v>
      </c>
      <c r="D56" s="10">
        <v>436200</v>
      </c>
      <c r="E56" s="2">
        <v>1350900</v>
      </c>
      <c r="F56">
        <v>2175700</v>
      </c>
      <c r="G56">
        <v>2175800</v>
      </c>
    </row>
    <row r="57" spans="1:7" x14ac:dyDescent="0.35">
      <c r="A57" s="10" t="s">
        <v>62</v>
      </c>
      <c r="B57" s="10">
        <v>1631700</v>
      </c>
      <c r="C57" s="10">
        <v>1934100</v>
      </c>
      <c r="D57" s="10">
        <v>1780600</v>
      </c>
      <c r="E57" s="2">
        <v>1910600</v>
      </c>
      <c r="F57">
        <v>1920600</v>
      </c>
      <c r="G57">
        <v>1920600</v>
      </c>
    </row>
    <row r="58" spans="1:7" x14ac:dyDescent="0.35">
      <c r="A58" s="10" t="s">
        <v>63</v>
      </c>
      <c r="B58" s="10">
        <v>2625300</v>
      </c>
      <c r="C58" s="10">
        <v>3510900</v>
      </c>
      <c r="D58" s="10">
        <v>3576300</v>
      </c>
      <c r="E58" s="2">
        <v>4149500</v>
      </c>
      <c r="F58">
        <v>4149500</v>
      </c>
      <c r="G58">
        <v>4149500</v>
      </c>
    </row>
    <row r="59" spans="1:7" x14ac:dyDescent="0.35">
      <c r="A59" s="10" t="s">
        <v>64</v>
      </c>
      <c r="B59" s="10">
        <v>-636200</v>
      </c>
      <c r="C59" s="10">
        <v>-538000</v>
      </c>
      <c r="D59" s="10">
        <v>-538000</v>
      </c>
      <c r="E59" s="2">
        <v>0</v>
      </c>
      <c r="F59">
        <v>10000</v>
      </c>
      <c r="G59">
        <v>10100</v>
      </c>
    </row>
    <row r="60" spans="1:7" x14ac:dyDescent="0.35">
      <c r="A60" s="10" t="s">
        <v>65</v>
      </c>
      <c r="B60" s="10">
        <v>-350100</v>
      </c>
      <c r="C60" s="10">
        <v>-100</v>
      </c>
      <c r="D60" s="10">
        <v>666400</v>
      </c>
      <c r="E60" s="2">
        <v>0</v>
      </c>
      <c r="F60">
        <v>0</v>
      </c>
      <c r="G60">
        <v>0</v>
      </c>
    </row>
    <row r="61" spans="1:7" x14ac:dyDescent="0.35">
      <c r="A61" s="10" t="s">
        <v>66</v>
      </c>
      <c r="B61" s="10">
        <v>0</v>
      </c>
      <c r="C61" s="10">
        <v>-200</v>
      </c>
      <c r="D61" s="10">
        <v>-200</v>
      </c>
      <c r="E61" s="2">
        <v>-200</v>
      </c>
      <c r="F61">
        <v>-200</v>
      </c>
      <c r="G61">
        <v>0</v>
      </c>
    </row>
    <row r="62" spans="1:7" x14ac:dyDescent="0.35">
      <c r="A62" s="10" t="s">
        <v>67</v>
      </c>
      <c r="B62" s="10">
        <v>434700</v>
      </c>
      <c r="C62" s="10">
        <v>1024200</v>
      </c>
      <c r="D62" s="10">
        <v>501800</v>
      </c>
      <c r="E62" s="4">
        <v>1487600</v>
      </c>
      <c r="F62">
        <v>987600</v>
      </c>
      <c r="G62">
        <v>987600</v>
      </c>
    </row>
    <row r="63" spans="1:7" x14ac:dyDescent="0.35">
      <c r="A63" s="10" t="s">
        <v>68</v>
      </c>
      <c r="B63" s="10">
        <v>1023500</v>
      </c>
      <c r="C63" s="10">
        <v>796100</v>
      </c>
      <c r="D63" s="10">
        <v>954700</v>
      </c>
      <c r="E63" s="4">
        <v>1104200</v>
      </c>
      <c r="F63">
        <v>1104200</v>
      </c>
      <c r="G63">
        <v>1104200</v>
      </c>
    </row>
    <row r="64" spans="1:7" x14ac:dyDescent="0.35">
      <c r="A64" s="10" t="s">
        <v>69</v>
      </c>
      <c r="B64" s="10">
        <v>-30500</v>
      </c>
      <c r="C64" s="10">
        <v>569100</v>
      </c>
      <c r="D64" s="10">
        <v>499600</v>
      </c>
      <c r="E64" s="2">
        <v>903300</v>
      </c>
      <c r="F64">
        <v>1000000</v>
      </c>
      <c r="G64">
        <v>1000000</v>
      </c>
    </row>
    <row r="65" spans="1:7" x14ac:dyDescent="0.35">
      <c r="A65" s="10" t="s">
        <v>44</v>
      </c>
      <c r="B65" s="10">
        <v>0</v>
      </c>
      <c r="C65" s="10">
        <v>-100</v>
      </c>
      <c r="D65" s="10">
        <v>-100</v>
      </c>
      <c r="E65" s="2">
        <v>-100</v>
      </c>
      <c r="F65">
        <v>-100</v>
      </c>
      <c r="G65">
        <v>0</v>
      </c>
    </row>
    <row r="66" spans="1:7" x14ac:dyDescent="0.35">
      <c r="A66" s="10" t="s">
        <v>45</v>
      </c>
      <c r="B66" s="10">
        <v>471500</v>
      </c>
      <c r="C66" s="10">
        <v>-100</v>
      </c>
      <c r="D66" s="10">
        <v>-100</v>
      </c>
      <c r="E66" s="2">
        <v>-100</v>
      </c>
      <c r="F66">
        <v>-100</v>
      </c>
      <c r="G66">
        <v>0</v>
      </c>
    </row>
    <row r="67" spans="1:7" x14ac:dyDescent="0.35">
      <c r="A67" s="10" t="s">
        <v>46</v>
      </c>
      <c r="B67" s="10">
        <v>-200</v>
      </c>
      <c r="C67" s="10">
        <v>-300</v>
      </c>
      <c r="D67" s="10">
        <v>-300</v>
      </c>
      <c r="E67" s="2">
        <v>-300</v>
      </c>
      <c r="F67">
        <v>-300</v>
      </c>
      <c r="G67">
        <v>0</v>
      </c>
    </row>
    <row r="68" spans="1:7" x14ac:dyDescent="0.35">
      <c r="A68" s="10" t="s">
        <v>47</v>
      </c>
      <c r="B68" s="10">
        <v>4214200</v>
      </c>
      <c r="C68" s="10">
        <v>5113800</v>
      </c>
      <c r="D68" s="10">
        <v>5000000</v>
      </c>
      <c r="E68" s="2">
        <v>6046800</v>
      </c>
      <c r="F68">
        <v>6344400</v>
      </c>
      <c r="G68">
        <v>6344500</v>
      </c>
    </row>
    <row r="69" spans="1:7" x14ac:dyDescent="0.35">
      <c r="A69" s="10" t="s">
        <v>48</v>
      </c>
      <c r="B69" s="10">
        <v>3840400</v>
      </c>
      <c r="C69" s="10">
        <v>-100</v>
      </c>
      <c r="D69" s="10">
        <v>-100</v>
      </c>
      <c r="E69" s="2">
        <v>-100</v>
      </c>
      <c r="F69">
        <v>-100</v>
      </c>
      <c r="G69">
        <v>0</v>
      </c>
    </row>
    <row r="70" spans="1:7" x14ac:dyDescent="0.35">
      <c r="A70" s="10" t="s">
        <v>49</v>
      </c>
      <c r="B70" s="10">
        <v>2867400</v>
      </c>
      <c r="C70" s="10">
        <v>3074400</v>
      </c>
      <c r="D70" s="10">
        <v>2974800</v>
      </c>
      <c r="E70" s="2">
        <v>3482600</v>
      </c>
      <c r="F70">
        <v>3480800</v>
      </c>
      <c r="G70">
        <v>3480800</v>
      </c>
    </row>
    <row r="71" spans="1:7" x14ac:dyDescent="0.35">
      <c r="A71" s="10" t="s">
        <v>50</v>
      </c>
      <c r="B71" s="10">
        <v>964400</v>
      </c>
      <c r="C71" s="10">
        <v>967500</v>
      </c>
      <c r="D71" s="10">
        <v>967500</v>
      </c>
      <c r="E71" s="2">
        <v>1329300</v>
      </c>
      <c r="F71">
        <v>1329300</v>
      </c>
      <c r="G71">
        <v>1329300</v>
      </c>
    </row>
    <row r="72" spans="1:7" x14ac:dyDescent="0.35">
      <c r="A72" s="10" t="s">
        <v>70</v>
      </c>
      <c r="B72" s="10">
        <v>-432100</v>
      </c>
      <c r="C72" s="10">
        <v>100</v>
      </c>
      <c r="D72" s="10">
        <v>0</v>
      </c>
      <c r="E72" s="2">
        <v>-100</v>
      </c>
      <c r="F72">
        <v>-100</v>
      </c>
      <c r="G72">
        <v>0</v>
      </c>
    </row>
    <row r="73" spans="1:7" x14ac:dyDescent="0.35">
      <c r="A73" s="10" t="s">
        <v>79</v>
      </c>
      <c r="B73" s="10">
        <v>-6249500</v>
      </c>
      <c r="C73" s="10">
        <v>-6269500</v>
      </c>
      <c r="D73" s="10">
        <v>-6269500</v>
      </c>
      <c r="E73" s="2">
        <v>-6269500</v>
      </c>
      <c r="F73">
        <v>-6269500</v>
      </c>
      <c r="G73">
        <v>-6269500</v>
      </c>
    </row>
    <row r="74" spans="1:7" x14ac:dyDescent="0.35">
      <c r="A74" s="10" t="s">
        <v>80</v>
      </c>
      <c r="B74" s="10">
        <v>6409900</v>
      </c>
      <c r="C74" s="10">
        <v>8394400</v>
      </c>
      <c r="D74" s="10">
        <v>8693800</v>
      </c>
      <c r="E74" s="2">
        <v>8788100</v>
      </c>
      <c r="F74">
        <v>9755600</v>
      </c>
      <c r="G74">
        <v>9755600</v>
      </c>
    </row>
    <row r="75" spans="1:7" x14ac:dyDescent="0.35">
      <c r="A75" s="10" t="s">
        <v>81</v>
      </c>
      <c r="B75" s="10">
        <v>-765900</v>
      </c>
      <c r="C75" s="10">
        <v>1319100</v>
      </c>
      <c r="D75" s="10">
        <v>1693000</v>
      </c>
      <c r="E75" s="2">
        <v>1747700</v>
      </c>
      <c r="F75">
        <v>1062000</v>
      </c>
      <c r="G75">
        <v>1061900</v>
      </c>
    </row>
    <row r="76" spans="1:7" x14ac:dyDescent="0.35">
      <c r="A76" s="10" t="s">
        <v>82</v>
      </c>
      <c r="B76" s="10">
        <v>0</v>
      </c>
      <c r="C76" s="10">
        <v>382200</v>
      </c>
      <c r="D76" s="10">
        <v>865400</v>
      </c>
      <c r="E76" s="2">
        <v>1618900</v>
      </c>
      <c r="F76">
        <v>2182700</v>
      </c>
      <c r="G76">
        <v>2182600</v>
      </c>
    </row>
    <row r="77" spans="1:7" x14ac:dyDescent="0.35">
      <c r="A77" s="10" t="s">
        <v>83</v>
      </c>
      <c r="B77" s="10">
        <v>-3740000</v>
      </c>
      <c r="C77" s="10">
        <v>-3752000</v>
      </c>
      <c r="D77" s="10">
        <v>-3752000</v>
      </c>
      <c r="E77" s="2">
        <v>-3752000</v>
      </c>
      <c r="F77">
        <v>-3752000</v>
      </c>
      <c r="G77">
        <v>-3752000</v>
      </c>
    </row>
    <row r="78" spans="1:7" x14ac:dyDescent="0.35">
      <c r="A78" s="10" t="s">
        <v>84</v>
      </c>
      <c r="B78" s="10">
        <v>0</v>
      </c>
      <c r="C78" s="10">
        <v>-100</v>
      </c>
      <c r="D78" s="10">
        <v>-100</v>
      </c>
      <c r="E78" s="2">
        <v>-6000100</v>
      </c>
      <c r="F78">
        <v>-6000100</v>
      </c>
      <c r="G78">
        <v>-6000000</v>
      </c>
    </row>
    <row r="79" spans="1:7" x14ac:dyDescent="0.35">
      <c r="A79" s="10" t="s">
        <v>85</v>
      </c>
      <c r="B79" s="10">
        <v>1855800</v>
      </c>
      <c r="C79" s="10">
        <v>2251400</v>
      </c>
      <c r="D79" s="10">
        <v>2151400</v>
      </c>
      <c r="E79" s="2">
        <v>2151400</v>
      </c>
      <c r="F79">
        <v>2317300</v>
      </c>
      <c r="G79">
        <v>2317300</v>
      </c>
    </row>
    <row r="80" spans="1:7" x14ac:dyDescent="0.35">
      <c r="A80" s="10" t="s">
        <v>86</v>
      </c>
      <c r="B80" s="10">
        <v>-1708900</v>
      </c>
      <c r="C80" s="10">
        <v>-1032100</v>
      </c>
      <c r="D80" s="10">
        <v>-1032100</v>
      </c>
      <c r="E80" s="2">
        <v>-569000</v>
      </c>
      <c r="F80">
        <v>-569000</v>
      </c>
      <c r="G80">
        <v>-569000</v>
      </c>
    </row>
    <row r="81" spans="1:7" x14ac:dyDescent="0.35">
      <c r="A81" s="10" t="s">
        <v>87</v>
      </c>
      <c r="B81" s="10">
        <v>-5623300</v>
      </c>
      <c r="C81" s="10">
        <v>-400100</v>
      </c>
      <c r="D81" s="10">
        <v>-430300</v>
      </c>
      <c r="E81" s="2">
        <v>-430300</v>
      </c>
      <c r="F81">
        <v>-430300</v>
      </c>
      <c r="G81">
        <v>-430300</v>
      </c>
    </row>
    <row r="82" spans="1:7" x14ac:dyDescent="0.35">
      <c r="A82" s="10" t="s">
        <v>88</v>
      </c>
      <c r="B82" s="10">
        <v>1764100</v>
      </c>
      <c r="C82" s="10">
        <v>2644600</v>
      </c>
      <c r="D82" s="10">
        <v>2351300</v>
      </c>
      <c r="E82" s="2">
        <v>3031700</v>
      </c>
      <c r="F82">
        <v>3288400</v>
      </c>
      <c r="G82">
        <v>3288400</v>
      </c>
    </row>
    <row r="83" spans="1:7" x14ac:dyDescent="0.35">
      <c r="A83" s="10" t="s">
        <v>71</v>
      </c>
      <c r="B83" s="10">
        <v>3590200</v>
      </c>
      <c r="C83" s="10">
        <v>100</v>
      </c>
      <c r="D83" s="10">
        <v>100</v>
      </c>
      <c r="E83" s="2">
        <v>2496800</v>
      </c>
      <c r="F83">
        <v>166400</v>
      </c>
      <c r="G83">
        <v>166300</v>
      </c>
    </row>
    <row r="84" spans="1:7" x14ac:dyDescent="0.35">
      <c r="A84" s="10" t="s">
        <v>89</v>
      </c>
      <c r="B84" s="10">
        <v>-1003200</v>
      </c>
      <c r="C84" s="10">
        <v>707700</v>
      </c>
      <c r="D84" s="10">
        <v>996700</v>
      </c>
      <c r="E84" s="2">
        <v>752500</v>
      </c>
      <c r="F84">
        <v>580000</v>
      </c>
      <c r="G84">
        <v>580000</v>
      </c>
    </row>
    <row r="85" spans="1:7" x14ac:dyDescent="0.35">
      <c r="A85" s="10" t="s">
        <v>90</v>
      </c>
      <c r="B85" s="10">
        <v>0</v>
      </c>
      <c r="C85" s="10">
        <v>0</v>
      </c>
      <c r="D85" s="10">
        <v>0</v>
      </c>
      <c r="E85" s="2">
        <v>0</v>
      </c>
      <c r="F85">
        <v>0</v>
      </c>
      <c r="G85">
        <v>0</v>
      </c>
    </row>
    <row r="86" spans="1:7" x14ac:dyDescent="0.35">
      <c r="A86" s="10" t="s">
        <v>91</v>
      </c>
      <c r="B86" s="10">
        <v>1374400</v>
      </c>
      <c r="C86" s="10">
        <v>2333600</v>
      </c>
      <c r="D86" s="10">
        <v>2333600</v>
      </c>
      <c r="E86" s="2">
        <v>3096300</v>
      </c>
      <c r="F86">
        <v>4249100</v>
      </c>
      <c r="G86">
        <v>4249100</v>
      </c>
    </row>
    <row r="87" spans="1:7" x14ac:dyDescent="0.35">
      <c r="A87" s="10" t="s">
        <v>92</v>
      </c>
      <c r="B87" s="10">
        <v>0</v>
      </c>
      <c r="C87" s="10">
        <v>100</v>
      </c>
      <c r="D87" s="10">
        <v>200000</v>
      </c>
      <c r="E87" s="2">
        <v>0</v>
      </c>
      <c r="F87">
        <v>345000</v>
      </c>
      <c r="G87">
        <v>345000</v>
      </c>
    </row>
    <row r="88" spans="1:7" x14ac:dyDescent="0.35">
      <c r="A88" s="10" t="s">
        <v>93</v>
      </c>
      <c r="B88" s="10">
        <v>2338400</v>
      </c>
      <c r="C88" s="10">
        <v>100</v>
      </c>
      <c r="D88" s="10">
        <v>161700</v>
      </c>
      <c r="E88" s="2">
        <v>483300</v>
      </c>
      <c r="F88">
        <v>644900</v>
      </c>
      <c r="G88">
        <v>644900</v>
      </c>
    </row>
    <row r="89" spans="1:7" x14ac:dyDescent="0.35">
      <c r="A89" s="10" t="s">
        <v>94</v>
      </c>
      <c r="B89" s="10">
        <v>-3026200</v>
      </c>
      <c r="C89" s="10">
        <v>-3136200</v>
      </c>
      <c r="D89" s="10">
        <v>-3136200</v>
      </c>
      <c r="E89" s="2">
        <v>-3186200</v>
      </c>
      <c r="F89">
        <v>-3186200</v>
      </c>
      <c r="G89">
        <v>-3186200</v>
      </c>
    </row>
    <row r="90" spans="1:7" x14ac:dyDescent="0.35">
      <c r="A90" s="10" t="s">
        <v>95</v>
      </c>
      <c r="B90" s="10">
        <v>-743200</v>
      </c>
      <c r="C90" s="10">
        <v>-84400</v>
      </c>
      <c r="D90" s="10">
        <v>-84400</v>
      </c>
      <c r="E90" s="2">
        <v>-84400</v>
      </c>
      <c r="F90">
        <v>-84400</v>
      </c>
      <c r="G90">
        <v>-84400</v>
      </c>
    </row>
    <row r="91" spans="1:7" x14ac:dyDescent="0.35">
      <c r="A91" s="10" t="s">
        <v>96</v>
      </c>
      <c r="B91" s="10">
        <v>-186900</v>
      </c>
      <c r="C91" s="10">
        <v>-187600</v>
      </c>
      <c r="D91" s="10">
        <v>-187600</v>
      </c>
      <c r="E91" s="2">
        <v>-187600</v>
      </c>
      <c r="F91">
        <v>-187600</v>
      </c>
      <c r="G91">
        <v>-187600</v>
      </c>
    </row>
    <row r="92" spans="1:7" x14ac:dyDescent="0.35">
      <c r="A92" s="10" t="s">
        <v>97</v>
      </c>
      <c r="B92" s="10">
        <v>-7833200</v>
      </c>
      <c r="C92" s="10">
        <v>-7380900</v>
      </c>
      <c r="D92" s="10">
        <v>-7380900</v>
      </c>
      <c r="E92" s="2">
        <v>-7380900</v>
      </c>
      <c r="F92">
        <v>-5629600</v>
      </c>
      <c r="G92">
        <v>-5629600</v>
      </c>
    </row>
    <row r="93" spans="1:7" x14ac:dyDescent="0.35">
      <c r="A93" s="10" t="s">
        <v>98</v>
      </c>
      <c r="B93" s="10">
        <v>-153200</v>
      </c>
      <c r="C93" s="10">
        <v>-153700</v>
      </c>
      <c r="D93" s="10">
        <v>-153700</v>
      </c>
      <c r="E93" s="4">
        <v>-153700</v>
      </c>
      <c r="F93">
        <v>-153700</v>
      </c>
      <c r="G93">
        <v>-153700</v>
      </c>
    </row>
    <row r="94" spans="1:7" x14ac:dyDescent="0.35">
      <c r="A94" s="10" t="s">
        <v>72</v>
      </c>
      <c r="B94" s="10">
        <v>-958500</v>
      </c>
      <c r="C94" s="10">
        <v>-401400</v>
      </c>
      <c r="D94" s="10">
        <v>-401400</v>
      </c>
      <c r="E94" s="2">
        <v>-401400</v>
      </c>
      <c r="F94">
        <v>-401400</v>
      </c>
      <c r="G94">
        <v>-401400</v>
      </c>
    </row>
    <row r="95" spans="1:7" x14ac:dyDescent="0.35">
      <c r="A95" s="10" t="s">
        <v>99</v>
      </c>
      <c r="B95" s="10">
        <v>-800300</v>
      </c>
      <c r="C95" s="10">
        <v>-400</v>
      </c>
      <c r="D95" s="10">
        <v>-400</v>
      </c>
      <c r="E95" s="2">
        <v>-300</v>
      </c>
      <c r="F95">
        <v>943900</v>
      </c>
      <c r="G95">
        <v>944000</v>
      </c>
    </row>
    <row r="96" spans="1:7" x14ac:dyDescent="0.35">
      <c r="A96" s="10" t="s">
        <v>100</v>
      </c>
      <c r="B96" s="10">
        <v>1086600</v>
      </c>
      <c r="C96" s="10">
        <v>1974900</v>
      </c>
      <c r="D96" s="10">
        <v>2159800</v>
      </c>
      <c r="E96" s="2">
        <v>3111000</v>
      </c>
      <c r="F96">
        <v>4062300</v>
      </c>
      <c r="G96">
        <v>4062300</v>
      </c>
    </row>
    <row r="97" spans="1:7" x14ac:dyDescent="0.35">
      <c r="A97" s="10" t="s">
        <v>101</v>
      </c>
      <c r="B97" s="10">
        <v>-2955800</v>
      </c>
      <c r="C97" s="10">
        <v>-3155600</v>
      </c>
      <c r="D97" s="10">
        <v>-3155600</v>
      </c>
      <c r="E97" s="2">
        <v>-3345500</v>
      </c>
      <c r="F97">
        <v>-3535500</v>
      </c>
      <c r="G97">
        <v>-3535500</v>
      </c>
    </row>
    <row r="98" spans="1:7" x14ac:dyDescent="0.35">
      <c r="A98" s="10" t="s">
        <v>102</v>
      </c>
      <c r="B98" s="10">
        <v>3271700</v>
      </c>
      <c r="C98" s="10">
        <v>3759800</v>
      </c>
      <c r="D98" s="10">
        <v>3759800</v>
      </c>
      <c r="E98" s="2">
        <v>4528000</v>
      </c>
      <c r="F98">
        <v>4528000</v>
      </c>
      <c r="G98">
        <v>4528000</v>
      </c>
    </row>
    <row r="99" spans="1:7" x14ac:dyDescent="0.35">
      <c r="A99" s="10" t="s">
        <v>103</v>
      </c>
      <c r="B99" s="10">
        <v>2936700</v>
      </c>
      <c r="C99" s="10">
        <v>3291000</v>
      </c>
      <c r="D99" s="10">
        <v>3164300</v>
      </c>
      <c r="E99" s="2">
        <v>3404800</v>
      </c>
      <c r="F99">
        <v>3404800</v>
      </c>
      <c r="G99">
        <v>3404800</v>
      </c>
    </row>
    <row r="100" spans="1:7" x14ac:dyDescent="0.35">
      <c r="A100" s="10" t="s">
        <v>73</v>
      </c>
      <c r="B100" s="10">
        <v>-918300</v>
      </c>
      <c r="C100" s="10">
        <v>182900</v>
      </c>
      <c r="D100" s="10">
        <v>160000</v>
      </c>
      <c r="E100" s="2">
        <v>0</v>
      </c>
      <c r="F100">
        <v>590000</v>
      </c>
      <c r="G100">
        <v>590000</v>
      </c>
    </row>
    <row r="101" spans="1:7" x14ac:dyDescent="0.35">
      <c r="A101" s="10" t="s">
        <v>74</v>
      </c>
      <c r="B101" s="10">
        <v>4749600</v>
      </c>
      <c r="C101" s="10">
        <v>-200100</v>
      </c>
      <c r="D101" s="10">
        <v>219800</v>
      </c>
      <c r="E101" s="2">
        <v>0</v>
      </c>
      <c r="F101">
        <v>970000</v>
      </c>
      <c r="G101">
        <v>970000</v>
      </c>
    </row>
    <row r="102" spans="1:7" x14ac:dyDescent="0.35">
      <c r="A102" s="10" t="s">
        <v>75</v>
      </c>
      <c r="B102" s="10">
        <v>0</v>
      </c>
      <c r="C102" s="10">
        <v>0</v>
      </c>
      <c r="D102" s="10">
        <v>0</v>
      </c>
      <c r="E102" s="4">
        <v>0</v>
      </c>
      <c r="F102">
        <v>0</v>
      </c>
      <c r="G102">
        <v>0</v>
      </c>
    </row>
    <row r="103" spans="1:7" x14ac:dyDescent="0.35">
      <c r="A103" s="10" t="s">
        <v>76</v>
      </c>
      <c r="B103" s="10">
        <v>-333700</v>
      </c>
      <c r="C103" s="10">
        <v>-334900</v>
      </c>
      <c r="D103" s="10">
        <v>-360900</v>
      </c>
      <c r="E103" s="4">
        <v>-360900</v>
      </c>
      <c r="F103">
        <v>-360900</v>
      </c>
      <c r="G103">
        <v>-360900</v>
      </c>
    </row>
    <row r="104" spans="1:7" x14ac:dyDescent="0.35">
      <c r="A104" s="10" t="s">
        <v>77</v>
      </c>
      <c r="B104" s="10">
        <v>2700100</v>
      </c>
      <c r="C104" s="10">
        <v>-100</v>
      </c>
      <c r="D104" s="10">
        <v>-100</v>
      </c>
      <c r="E104" s="2">
        <v>-100</v>
      </c>
      <c r="F104">
        <v>-100</v>
      </c>
      <c r="G104">
        <v>0</v>
      </c>
    </row>
    <row r="105" spans="1:7" x14ac:dyDescent="0.35">
      <c r="A105" s="10" t="s">
        <v>78</v>
      </c>
      <c r="B105" s="10">
        <v>0</v>
      </c>
      <c r="C105" s="10">
        <v>-40100</v>
      </c>
      <c r="D105" s="10">
        <v>-70100</v>
      </c>
      <c r="E105" s="2">
        <v>-170100</v>
      </c>
      <c r="F105">
        <v>-270100</v>
      </c>
      <c r="G105">
        <v>-270100</v>
      </c>
    </row>
    <row r="106" spans="1:7" x14ac:dyDescent="0.35">
      <c r="A106" s="10" t="s">
        <v>104</v>
      </c>
      <c r="B106" s="10">
        <v>-1505400</v>
      </c>
      <c r="C106" s="10">
        <v>-1037300</v>
      </c>
      <c r="D106" s="10">
        <v>-237300</v>
      </c>
      <c r="E106" s="2">
        <v>-237300</v>
      </c>
      <c r="F106">
        <v>-237300</v>
      </c>
      <c r="G106">
        <v>-237400</v>
      </c>
    </row>
    <row r="107" spans="1:7" x14ac:dyDescent="0.35">
      <c r="A107" s="10" t="s">
        <v>113</v>
      </c>
      <c r="B107" s="10">
        <v>2409800</v>
      </c>
      <c r="C107" s="10">
        <v>2508900</v>
      </c>
      <c r="D107" s="10">
        <v>2410000</v>
      </c>
      <c r="E107" s="2">
        <v>2000100</v>
      </c>
      <c r="F107">
        <v>3000000</v>
      </c>
      <c r="G107">
        <v>3000000</v>
      </c>
    </row>
    <row r="108" spans="1:7" x14ac:dyDescent="0.35">
      <c r="A108" s="10" t="s">
        <v>114</v>
      </c>
      <c r="B108" s="10">
        <v>0</v>
      </c>
      <c r="C108" s="10">
        <v>100</v>
      </c>
      <c r="D108" s="10">
        <v>100</v>
      </c>
      <c r="E108" s="2">
        <v>100</v>
      </c>
      <c r="F108">
        <v>100</v>
      </c>
      <c r="G108">
        <v>0</v>
      </c>
    </row>
    <row r="109" spans="1:7" x14ac:dyDescent="0.35">
      <c r="A109" s="10" t="s">
        <v>115</v>
      </c>
      <c r="B109" s="10">
        <v>0</v>
      </c>
      <c r="C109" s="10">
        <v>100</v>
      </c>
      <c r="D109" s="10">
        <v>100</v>
      </c>
      <c r="E109" s="2">
        <v>100</v>
      </c>
      <c r="F109">
        <v>100</v>
      </c>
      <c r="G109">
        <v>0</v>
      </c>
    </row>
    <row r="110" spans="1:7" x14ac:dyDescent="0.35">
      <c r="A110" s="10" t="s">
        <v>116</v>
      </c>
      <c r="B110" s="10">
        <v>-1000100</v>
      </c>
      <c r="C110" s="10">
        <v>-100</v>
      </c>
      <c r="D110" s="10">
        <v>-100</v>
      </c>
      <c r="E110" s="2">
        <v>-100</v>
      </c>
      <c r="F110">
        <v>-100</v>
      </c>
      <c r="G110">
        <v>0</v>
      </c>
    </row>
    <row r="111" spans="1:7" x14ac:dyDescent="0.35">
      <c r="A111" s="10" t="s">
        <v>117</v>
      </c>
      <c r="B111" s="10">
        <v>-4032100</v>
      </c>
      <c r="C111" s="10">
        <v>-4045100</v>
      </c>
      <c r="D111" s="10">
        <v>-4045200</v>
      </c>
      <c r="E111" s="2">
        <v>-4045200</v>
      </c>
      <c r="F111">
        <v>-3545200</v>
      </c>
      <c r="G111">
        <v>-3545200</v>
      </c>
    </row>
    <row r="112" spans="1:7" x14ac:dyDescent="0.35">
      <c r="A112" s="10" t="s">
        <v>118</v>
      </c>
      <c r="B112" s="10">
        <v>0</v>
      </c>
      <c r="C112" s="10">
        <v>0</v>
      </c>
      <c r="D112" s="10">
        <v>0</v>
      </c>
      <c r="E112" s="2">
        <v>0</v>
      </c>
      <c r="F112">
        <v>0</v>
      </c>
      <c r="G112">
        <v>0</v>
      </c>
    </row>
    <row r="113" spans="1:7" x14ac:dyDescent="0.35">
      <c r="A113" s="10" t="s">
        <v>119</v>
      </c>
      <c r="B113" s="10">
        <v>-989200</v>
      </c>
      <c r="C113" s="10">
        <v>-992400</v>
      </c>
      <c r="D113" s="10">
        <v>-992400</v>
      </c>
      <c r="E113" s="2">
        <v>-992400</v>
      </c>
      <c r="F113">
        <v>-992400</v>
      </c>
      <c r="G113">
        <v>-992500</v>
      </c>
    </row>
    <row r="114" spans="1:7" x14ac:dyDescent="0.35">
      <c r="A114" s="10" t="s">
        <v>120</v>
      </c>
      <c r="B114" s="10">
        <v>1442000</v>
      </c>
      <c r="C114" s="10">
        <v>2166500</v>
      </c>
      <c r="D114" s="10">
        <v>2330500</v>
      </c>
      <c r="E114" s="2">
        <v>3151200</v>
      </c>
      <c r="F114">
        <v>3609200</v>
      </c>
      <c r="G114">
        <v>3609200</v>
      </c>
    </row>
    <row r="115" spans="1:7" x14ac:dyDescent="0.35">
      <c r="A115" s="10" t="s">
        <v>121</v>
      </c>
      <c r="B115" s="10">
        <v>-1662900</v>
      </c>
      <c r="C115" s="10">
        <v>747000</v>
      </c>
      <c r="D115" s="10">
        <v>2131400</v>
      </c>
      <c r="E115" s="2">
        <v>6536500</v>
      </c>
      <c r="F115">
        <v>9090400</v>
      </c>
      <c r="G115">
        <v>9090400</v>
      </c>
    </row>
    <row r="116" spans="1:7" x14ac:dyDescent="0.35">
      <c r="A116" s="10" t="s">
        <v>122</v>
      </c>
      <c r="B116" s="10">
        <v>-183200</v>
      </c>
      <c r="C116" s="10">
        <v>-700</v>
      </c>
      <c r="D116" s="10">
        <v>-700</v>
      </c>
      <c r="E116" s="2">
        <v>400000</v>
      </c>
      <c r="F116">
        <v>2056300</v>
      </c>
      <c r="G116">
        <v>2056500</v>
      </c>
    </row>
    <row r="117" spans="1:7" x14ac:dyDescent="0.35">
      <c r="A117" s="10" t="s">
        <v>105</v>
      </c>
      <c r="B117" s="10">
        <v>0</v>
      </c>
      <c r="C117" s="10">
        <v>100</v>
      </c>
      <c r="D117" s="10">
        <v>100</v>
      </c>
      <c r="E117" s="2">
        <v>100</v>
      </c>
      <c r="F117">
        <v>100</v>
      </c>
      <c r="G117">
        <v>0</v>
      </c>
    </row>
    <row r="118" spans="1:7" x14ac:dyDescent="0.35">
      <c r="A118" s="10" t="s">
        <v>123</v>
      </c>
      <c r="B118" s="10">
        <v>795900</v>
      </c>
      <c r="C118" s="10">
        <v>1521600</v>
      </c>
      <c r="D118" s="10">
        <v>1481300</v>
      </c>
      <c r="E118" s="2">
        <v>2082400</v>
      </c>
      <c r="F118">
        <v>1412400</v>
      </c>
      <c r="G118">
        <v>1412400</v>
      </c>
    </row>
    <row r="119" spans="1:7" x14ac:dyDescent="0.35">
      <c r="A119" s="10" t="s">
        <v>124</v>
      </c>
      <c r="B119" s="10">
        <v>1560200</v>
      </c>
      <c r="C119" s="10">
        <v>1889900</v>
      </c>
      <c r="D119" s="10">
        <v>2558000</v>
      </c>
      <c r="E119" s="2">
        <v>2465400</v>
      </c>
      <c r="F119">
        <v>2836700</v>
      </c>
      <c r="G119">
        <v>2836700</v>
      </c>
    </row>
    <row r="120" spans="1:7" x14ac:dyDescent="0.35">
      <c r="A120" s="10" t="s">
        <v>125</v>
      </c>
      <c r="B120" s="10">
        <v>-1585100</v>
      </c>
      <c r="C120" s="10">
        <v>-811200</v>
      </c>
      <c r="D120" s="10">
        <v>-398100</v>
      </c>
      <c r="E120" s="2">
        <v>-1871600</v>
      </c>
      <c r="F120">
        <v>-2416600</v>
      </c>
      <c r="G120">
        <v>-2416600</v>
      </c>
    </row>
    <row r="121" spans="1:7" x14ac:dyDescent="0.35">
      <c r="A121" s="10" t="s">
        <v>126</v>
      </c>
      <c r="B121" s="10">
        <v>-202400</v>
      </c>
      <c r="C121" s="10">
        <v>-800</v>
      </c>
      <c r="D121" s="10">
        <v>1000000</v>
      </c>
      <c r="E121" s="2">
        <v>2000000</v>
      </c>
      <c r="F121">
        <v>1969700</v>
      </c>
      <c r="G121">
        <v>1969700</v>
      </c>
    </row>
    <row r="122" spans="1:7" x14ac:dyDescent="0.35">
      <c r="A122" s="10" t="s">
        <v>127</v>
      </c>
      <c r="B122" s="10">
        <v>476400</v>
      </c>
      <c r="C122" s="10">
        <v>-700</v>
      </c>
      <c r="D122" s="10">
        <v>603800</v>
      </c>
      <c r="E122" s="2">
        <v>662700</v>
      </c>
      <c r="F122">
        <v>738700</v>
      </c>
      <c r="G122">
        <v>738700</v>
      </c>
    </row>
    <row r="123" spans="1:7" x14ac:dyDescent="0.35">
      <c r="A123" s="10" t="s">
        <v>128</v>
      </c>
      <c r="B123" s="10">
        <v>1423800</v>
      </c>
      <c r="C123" s="10">
        <v>1639100</v>
      </c>
      <c r="D123" s="10">
        <v>1935300</v>
      </c>
      <c r="E123" s="2">
        <v>1832800</v>
      </c>
      <c r="F123">
        <v>1832800</v>
      </c>
      <c r="G123">
        <v>1832800</v>
      </c>
    </row>
    <row r="124" spans="1:7" x14ac:dyDescent="0.35">
      <c r="A124" s="10" t="s">
        <v>129</v>
      </c>
      <c r="B124" s="10">
        <v>0</v>
      </c>
      <c r="C124" s="10">
        <v>0</v>
      </c>
      <c r="D124" s="10">
        <v>0</v>
      </c>
      <c r="E124" s="2">
        <v>0</v>
      </c>
      <c r="F124">
        <v>0</v>
      </c>
      <c r="G124">
        <v>0</v>
      </c>
    </row>
    <row r="125" spans="1:7" x14ac:dyDescent="0.35">
      <c r="A125" s="10" t="s">
        <v>130</v>
      </c>
      <c r="B125" s="10">
        <v>0</v>
      </c>
      <c r="C125" s="10">
        <v>0</v>
      </c>
      <c r="D125" s="10">
        <v>0</v>
      </c>
      <c r="E125" s="2">
        <v>0</v>
      </c>
      <c r="F125">
        <v>0</v>
      </c>
      <c r="G125">
        <v>0</v>
      </c>
    </row>
    <row r="126" spans="1:7" x14ac:dyDescent="0.35">
      <c r="A126" s="10" t="s">
        <v>131</v>
      </c>
      <c r="B126" s="10">
        <v>2322500</v>
      </c>
      <c r="C126" s="10">
        <v>1683400</v>
      </c>
      <c r="D126" s="10">
        <v>1212100</v>
      </c>
      <c r="E126" s="2">
        <v>1196400</v>
      </c>
      <c r="F126">
        <v>1196400</v>
      </c>
      <c r="G126">
        <v>1196400</v>
      </c>
    </row>
    <row r="127" spans="1:7" x14ac:dyDescent="0.35">
      <c r="A127" s="10" t="s">
        <v>132</v>
      </c>
      <c r="B127" s="10">
        <v>-200</v>
      </c>
      <c r="C127" s="10">
        <v>-300</v>
      </c>
      <c r="D127" s="10">
        <v>-300</v>
      </c>
      <c r="E127" s="2">
        <v>-300</v>
      </c>
      <c r="F127">
        <v>-300</v>
      </c>
      <c r="G127">
        <v>0</v>
      </c>
    </row>
    <row r="128" spans="1:7" x14ac:dyDescent="0.35">
      <c r="A128" s="10" t="s">
        <v>106</v>
      </c>
      <c r="B128" s="10">
        <v>-2076700</v>
      </c>
      <c r="C128" s="10">
        <v>-1583400</v>
      </c>
      <c r="D128" s="10">
        <v>-1583400</v>
      </c>
      <c r="E128" s="2">
        <v>-1583400</v>
      </c>
      <c r="F128">
        <v>-1583400</v>
      </c>
      <c r="G128">
        <v>-1583400</v>
      </c>
    </row>
    <row r="129" spans="1:7" x14ac:dyDescent="0.35">
      <c r="A129" s="10" t="s">
        <v>133</v>
      </c>
      <c r="B129" s="10">
        <v>-1021600</v>
      </c>
      <c r="C129" s="10">
        <v>-153000</v>
      </c>
      <c r="D129" s="10">
        <v>-153000</v>
      </c>
      <c r="E129" s="2">
        <v>-153000</v>
      </c>
      <c r="F129">
        <v>0</v>
      </c>
      <c r="G129">
        <v>0</v>
      </c>
    </row>
    <row r="130" spans="1:7" x14ac:dyDescent="0.35">
      <c r="A130" s="10" t="s">
        <v>107</v>
      </c>
      <c r="B130" s="10">
        <v>-1407500</v>
      </c>
      <c r="C130" s="10">
        <v>-613300</v>
      </c>
      <c r="D130" s="10">
        <v>-613300</v>
      </c>
      <c r="E130" s="2">
        <v>-313300</v>
      </c>
      <c r="F130">
        <v>-13300</v>
      </c>
      <c r="G130">
        <v>-13300</v>
      </c>
    </row>
    <row r="131" spans="1:7" x14ac:dyDescent="0.35">
      <c r="A131" s="10" t="s">
        <v>108</v>
      </c>
      <c r="B131" s="10">
        <v>-703200</v>
      </c>
      <c r="C131" s="10">
        <v>-304200</v>
      </c>
      <c r="D131" s="10">
        <v>-413900</v>
      </c>
      <c r="E131" s="2">
        <v>-413900</v>
      </c>
      <c r="F131">
        <v>186100</v>
      </c>
      <c r="G131">
        <v>186100</v>
      </c>
    </row>
    <row r="132" spans="1:7" x14ac:dyDescent="0.35">
      <c r="A132" s="10" t="s">
        <v>109</v>
      </c>
      <c r="B132" s="10">
        <v>3123100</v>
      </c>
      <c r="C132" s="10">
        <v>3010100</v>
      </c>
      <c r="D132" s="10">
        <v>2800000</v>
      </c>
      <c r="E132" s="2">
        <v>2599900</v>
      </c>
      <c r="F132">
        <v>3028600</v>
      </c>
      <c r="G132">
        <v>3028700</v>
      </c>
    </row>
    <row r="133" spans="1:7" x14ac:dyDescent="0.35">
      <c r="A133" s="10" t="s">
        <v>110</v>
      </c>
      <c r="B133" s="10">
        <v>1830900</v>
      </c>
      <c r="C133" s="10">
        <v>1836800</v>
      </c>
      <c r="D133" s="10">
        <v>1836800</v>
      </c>
      <c r="E133" s="2">
        <v>1836800</v>
      </c>
      <c r="F133">
        <v>1836800</v>
      </c>
      <c r="G133">
        <v>1836800</v>
      </c>
    </row>
    <row r="134" spans="1:7" x14ac:dyDescent="0.35">
      <c r="A134" s="10" t="s">
        <v>111</v>
      </c>
      <c r="B134" s="10">
        <v>2659000</v>
      </c>
      <c r="C134" s="10">
        <v>2128200</v>
      </c>
      <c r="D134" s="10">
        <v>1700000</v>
      </c>
      <c r="E134" s="2">
        <v>1600000</v>
      </c>
      <c r="F134">
        <v>1260100</v>
      </c>
      <c r="G134">
        <v>1260100</v>
      </c>
    </row>
    <row r="135" spans="1:7" x14ac:dyDescent="0.35">
      <c r="A135" s="10" t="s">
        <v>112</v>
      </c>
      <c r="B135" s="10">
        <v>3457700</v>
      </c>
      <c r="C135" s="10">
        <v>-100</v>
      </c>
      <c r="D135" s="10">
        <v>-100</v>
      </c>
      <c r="E135" s="2">
        <v>-100</v>
      </c>
      <c r="F135">
        <v>-100</v>
      </c>
      <c r="G135">
        <v>0</v>
      </c>
    </row>
    <row r="136" spans="1:7" x14ac:dyDescent="0.35">
      <c r="A136" s="10" t="s">
        <v>134</v>
      </c>
      <c r="B136" s="10">
        <v>-1170100</v>
      </c>
      <c r="C136" s="10">
        <v>1000000</v>
      </c>
      <c r="D136" s="10">
        <v>566900</v>
      </c>
      <c r="E136" s="2">
        <v>0</v>
      </c>
      <c r="F136">
        <v>685300</v>
      </c>
      <c r="G136">
        <v>685300</v>
      </c>
    </row>
    <row r="137" spans="1:7" x14ac:dyDescent="0.35">
      <c r="A137" s="10" t="s">
        <v>143</v>
      </c>
      <c r="B137" s="10">
        <v>-1307600</v>
      </c>
      <c r="C137" s="10">
        <v>-740200</v>
      </c>
      <c r="D137" s="10">
        <v>0</v>
      </c>
      <c r="E137" s="2">
        <v>333500</v>
      </c>
      <c r="F137">
        <v>693900</v>
      </c>
      <c r="G137">
        <v>693900</v>
      </c>
    </row>
    <row r="138" spans="1:7" x14ac:dyDescent="0.35">
      <c r="A138" s="10" t="s">
        <v>144</v>
      </c>
      <c r="B138" s="10">
        <v>851100</v>
      </c>
      <c r="C138" s="10">
        <v>-100</v>
      </c>
      <c r="D138" s="10">
        <v>-100</v>
      </c>
      <c r="E138" s="2">
        <v>-100</v>
      </c>
      <c r="F138">
        <v>-100</v>
      </c>
      <c r="G138">
        <v>0</v>
      </c>
    </row>
    <row r="139" spans="1:7" x14ac:dyDescent="0.35">
      <c r="A139" s="10" t="s">
        <v>145</v>
      </c>
      <c r="B139" s="10">
        <v>-445600</v>
      </c>
      <c r="C139" s="10">
        <v>-100</v>
      </c>
      <c r="D139" s="10">
        <v>-6000</v>
      </c>
      <c r="E139" s="2">
        <v>-6000</v>
      </c>
      <c r="F139">
        <v>-6000</v>
      </c>
      <c r="G139">
        <v>-6100</v>
      </c>
    </row>
    <row r="140" spans="1:7" x14ac:dyDescent="0.35">
      <c r="A140" s="10" t="s">
        <v>146</v>
      </c>
      <c r="B140" s="10">
        <v>3909900</v>
      </c>
      <c r="C140" s="10">
        <v>100</v>
      </c>
      <c r="D140" s="10">
        <v>100</v>
      </c>
      <c r="E140" s="2">
        <v>561100</v>
      </c>
      <c r="F140">
        <v>0</v>
      </c>
      <c r="G140">
        <v>0</v>
      </c>
    </row>
    <row r="141" spans="1:7" x14ac:dyDescent="0.35">
      <c r="A141" s="10" t="s">
        <v>135</v>
      </c>
      <c r="B141" s="10">
        <v>-6186900</v>
      </c>
      <c r="C141" s="10">
        <v>-6206800</v>
      </c>
      <c r="D141" s="10">
        <v>-6206800</v>
      </c>
      <c r="E141" s="2">
        <v>-6206800</v>
      </c>
      <c r="F141">
        <v>-6206800</v>
      </c>
      <c r="G141">
        <v>-6206800</v>
      </c>
    </row>
    <row r="142" spans="1:7" x14ac:dyDescent="0.35">
      <c r="A142" s="10" t="s">
        <v>136</v>
      </c>
      <c r="B142" s="10">
        <v>-309400</v>
      </c>
      <c r="C142" s="10">
        <v>-511100</v>
      </c>
      <c r="D142" s="10">
        <v>-511100</v>
      </c>
      <c r="E142" s="2">
        <v>-511100</v>
      </c>
      <c r="F142">
        <v>905000</v>
      </c>
      <c r="G142">
        <v>905100</v>
      </c>
    </row>
    <row r="143" spans="1:7" x14ac:dyDescent="0.35">
      <c r="A143" s="10" t="s">
        <v>137</v>
      </c>
      <c r="B143" s="10">
        <v>-1033200</v>
      </c>
      <c r="C143" s="10">
        <v>385300</v>
      </c>
      <c r="D143" s="10">
        <v>792500</v>
      </c>
      <c r="E143" s="2">
        <v>0</v>
      </c>
      <c r="F143">
        <v>0</v>
      </c>
      <c r="G143">
        <v>0</v>
      </c>
    </row>
    <row r="144" spans="1:7" x14ac:dyDescent="0.35">
      <c r="A144" s="10" t="s">
        <v>138</v>
      </c>
      <c r="B144" s="10">
        <v>2581700</v>
      </c>
      <c r="C144" s="10">
        <v>2654900</v>
      </c>
      <c r="D144" s="10">
        <v>3277800</v>
      </c>
      <c r="E144" s="4">
        <v>3480700</v>
      </c>
      <c r="F144">
        <v>3371200</v>
      </c>
      <c r="G144">
        <v>3371200</v>
      </c>
    </row>
    <row r="145" spans="1:7" x14ac:dyDescent="0.35">
      <c r="A145" s="10" t="s">
        <v>139</v>
      </c>
      <c r="B145" s="10">
        <v>100</v>
      </c>
      <c r="C145" s="10">
        <v>-200</v>
      </c>
      <c r="D145" s="10">
        <v>-200</v>
      </c>
      <c r="E145" s="2">
        <v>-200</v>
      </c>
      <c r="F145">
        <v>-200</v>
      </c>
      <c r="G145">
        <v>0</v>
      </c>
    </row>
    <row r="146" spans="1:7" x14ac:dyDescent="0.35">
      <c r="A146" s="10" t="s">
        <v>140</v>
      </c>
      <c r="B146" s="10">
        <v>0</v>
      </c>
      <c r="C146" s="10">
        <v>-100</v>
      </c>
      <c r="D146" s="10">
        <v>355300</v>
      </c>
      <c r="E146" s="2">
        <v>268800</v>
      </c>
      <c r="F146">
        <v>-268800</v>
      </c>
      <c r="G146">
        <v>-269000</v>
      </c>
    </row>
    <row r="147" spans="1:7" x14ac:dyDescent="0.35">
      <c r="A147" s="10" t="s">
        <v>141</v>
      </c>
      <c r="B147" s="10">
        <v>0</v>
      </c>
      <c r="C147" s="10">
        <v>-100</v>
      </c>
      <c r="D147" s="10">
        <v>-100</v>
      </c>
      <c r="E147" s="4">
        <v>-100</v>
      </c>
      <c r="F147">
        <v>-100</v>
      </c>
      <c r="G147">
        <v>0</v>
      </c>
    </row>
    <row r="148" spans="1:7" x14ac:dyDescent="0.35">
      <c r="A148" s="10" t="s">
        <v>142</v>
      </c>
      <c r="B148" s="10">
        <v>749900</v>
      </c>
      <c r="C148" s="10">
        <v>702400</v>
      </c>
      <c r="D148" s="10">
        <v>1126100</v>
      </c>
      <c r="E148" s="2">
        <v>2485000</v>
      </c>
      <c r="F148">
        <v>2336500</v>
      </c>
      <c r="G148">
        <v>2336400</v>
      </c>
    </row>
    <row r="149" spans="1:7" x14ac:dyDescent="0.35">
      <c r="A149" s="10" t="s">
        <v>147</v>
      </c>
      <c r="B149" s="10">
        <v>-20000</v>
      </c>
      <c r="C149" s="10">
        <v>-40200</v>
      </c>
      <c r="D149" s="10">
        <v>-60200</v>
      </c>
      <c r="E149" s="2">
        <v>-110200</v>
      </c>
      <c r="F149">
        <v>-130200</v>
      </c>
      <c r="G149">
        <v>-130200</v>
      </c>
    </row>
    <row r="150" spans="1:7" x14ac:dyDescent="0.35">
      <c r="A150" s="10" t="s">
        <v>156</v>
      </c>
      <c r="B150" s="10">
        <v>-2510000</v>
      </c>
      <c r="C150" s="10">
        <v>-2518100</v>
      </c>
      <c r="D150" s="10">
        <v>-2558100</v>
      </c>
      <c r="E150" s="2">
        <v>-2608100</v>
      </c>
      <c r="F150">
        <v>-2678100</v>
      </c>
      <c r="G150">
        <v>-2678100</v>
      </c>
    </row>
    <row r="151" spans="1:7" x14ac:dyDescent="0.35">
      <c r="A151" s="10" t="s">
        <v>157</v>
      </c>
      <c r="B151" s="10">
        <v>-4549500</v>
      </c>
      <c r="C151" s="10">
        <v>-4564100</v>
      </c>
      <c r="D151" s="10">
        <v>-3577200</v>
      </c>
      <c r="E151" s="2">
        <v>-3577200</v>
      </c>
      <c r="F151">
        <v>-3002300</v>
      </c>
      <c r="G151">
        <v>-3002300</v>
      </c>
    </row>
    <row r="152" spans="1:7" x14ac:dyDescent="0.35">
      <c r="A152" s="10" t="s">
        <v>158</v>
      </c>
      <c r="B152" s="10">
        <v>-100</v>
      </c>
      <c r="C152" s="10">
        <v>-200</v>
      </c>
      <c r="D152" s="10">
        <v>-200</v>
      </c>
      <c r="E152" s="2">
        <v>-300</v>
      </c>
      <c r="F152">
        <v>1035100</v>
      </c>
      <c r="G152">
        <v>1035200</v>
      </c>
    </row>
    <row r="153" spans="1:7" x14ac:dyDescent="0.35">
      <c r="A153" s="10" t="s">
        <v>159</v>
      </c>
      <c r="B153" s="10">
        <v>-286700</v>
      </c>
      <c r="C153" s="10">
        <v>145700</v>
      </c>
      <c r="D153" s="10">
        <v>727500</v>
      </c>
      <c r="E153" s="2">
        <v>0</v>
      </c>
      <c r="F153">
        <v>897800</v>
      </c>
      <c r="G153">
        <v>897800</v>
      </c>
    </row>
    <row r="154" spans="1:7" x14ac:dyDescent="0.35">
      <c r="A154" s="10" t="s">
        <v>160</v>
      </c>
      <c r="B154" s="10">
        <v>-8524000</v>
      </c>
      <c r="C154" s="10">
        <v>-8712000</v>
      </c>
      <c r="D154" s="10">
        <v>-7674300</v>
      </c>
      <c r="E154" s="2">
        <v>-6617900</v>
      </c>
      <c r="F154">
        <v>-4609700</v>
      </c>
      <c r="G154">
        <v>-4609800</v>
      </c>
    </row>
    <row r="155" spans="1:7" x14ac:dyDescent="0.35">
      <c r="A155" s="10" t="s">
        <v>161</v>
      </c>
      <c r="B155" s="10">
        <v>-1756100</v>
      </c>
      <c r="C155" s="10">
        <v>-1761800</v>
      </c>
      <c r="D155" s="10">
        <v>-1761800</v>
      </c>
      <c r="E155" s="2">
        <v>-1061000</v>
      </c>
      <c r="F155">
        <v>-1061000</v>
      </c>
      <c r="G155">
        <v>-1061000</v>
      </c>
    </row>
    <row r="156" spans="1:7" x14ac:dyDescent="0.35">
      <c r="A156" s="10" t="s">
        <v>162</v>
      </c>
      <c r="B156" s="10">
        <v>-202300</v>
      </c>
      <c r="C156" s="10">
        <v>100</v>
      </c>
      <c r="D156" s="10">
        <v>-44900</v>
      </c>
      <c r="E156" s="4">
        <v>-45000</v>
      </c>
      <c r="F156">
        <v>-45000</v>
      </c>
      <c r="G156">
        <v>-45000</v>
      </c>
    </row>
    <row r="157" spans="1:7" x14ac:dyDescent="0.35">
      <c r="A157" s="10" t="s">
        <v>163</v>
      </c>
      <c r="B157" s="10">
        <v>-309900</v>
      </c>
      <c r="C157" s="10">
        <v>-100</v>
      </c>
      <c r="D157" s="10">
        <v>-100</v>
      </c>
      <c r="E157" s="2">
        <v>-100</v>
      </c>
      <c r="F157">
        <v>-100</v>
      </c>
      <c r="G157">
        <v>0</v>
      </c>
    </row>
    <row r="158" spans="1:7" x14ac:dyDescent="0.35">
      <c r="A158" s="10" t="s">
        <v>164</v>
      </c>
      <c r="B158" s="10">
        <v>0</v>
      </c>
      <c r="C158" s="10">
        <v>0</v>
      </c>
      <c r="D158" s="10">
        <v>0</v>
      </c>
      <c r="E158" s="2">
        <v>0</v>
      </c>
      <c r="F158">
        <v>0</v>
      </c>
      <c r="G158">
        <v>0</v>
      </c>
    </row>
    <row r="159" spans="1:7" x14ac:dyDescent="0.35">
      <c r="A159" s="10" t="s">
        <v>165</v>
      </c>
      <c r="B159" s="10">
        <v>2700000</v>
      </c>
      <c r="C159" s="10">
        <v>3373200</v>
      </c>
      <c r="D159" s="10">
        <v>3598400</v>
      </c>
      <c r="E159" s="2">
        <v>3824400</v>
      </c>
      <c r="F159">
        <v>4564500</v>
      </c>
      <c r="G159">
        <v>4564500</v>
      </c>
    </row>
    <row r="160" spans="1:7" x14ac:dyDescent="0.35">
      <c r="A160" s="10" t="s">
        <v>148</v>
      </c>
      <c r="B160" s="10">
        <v>-100</v>
      </c>
      <c r="C160" s="10">
        <v>-100</v>
      </c>
      <c r="D160" s="10">
        <v>-100</v>
      </c>
      <c r="E160" s="2">
        <v>351000</v>
      </c>
      <c r="F160">
        <v>1000000</v>
      </c>
      <c r="G160">
        <v>1000000</v>
      </c>
    </row>
    <row r="161" spans="1:7" x14ac:dyDescent="0.35">
      <c r="A161" s="10" t="s">
        <v>166</v>
      </c>
      <c r="B161" s="10">
        <v>-1176000</v>
      </c>
      <c r="C161" s="10">
        <v>-357400</v>
      </c>
      <c r="D161" s="10">
        <v>-739800</v>
      </c>
      <c r="E161" s="2">
        <v>-599100</v>
      </c>
      <c r="F161">
        <v>-117500</v>
      </c>
      <c r="G161">
        <v>-117600</v>
      </c>
    </row>
    <row r="162" spans="1:7" x14ac:dyDescent="0.35">
      <c r="A162" s="10" t="s">
        <v>167</v>
      </c>
      <c r="B162" s="10">
        <v>-57500</v>
      </c>
      <c r="C162" s="10">
        <v>-57700</v>
      </c>
      <c r="D162" s="10">
        <v>-4057700</v>
      </c>
      <c r="E162" s="2">
        <v>-4057700</v>
      </c>
      <c r="F162">
        <v>-4057700</v>
      </c>
      <c r="G162">
        <v>-4057600</v>
      </c>
    </row>
    <row r="163" spans="1:7" x14ac:dyDescent="0.35">
      <c r="A163" s="10" t="s">
        <v>168</v>
      </c>
      <c r="B163" s="10">
        <v>-2960800</v>
      </c>
      <c r="C163" s="10">
        <v>-2970300</v>
      </c>
      <c r="D163" s="10">
        <v>-2970300</v>
      </c>
      <c r="E163" s="2">
        <v>-2970300</v>
      </c>
      <c r="F163">
        <v>-2970300</v>
      </c>
      <c r="G163">
        <v>-2970200</v>
      </c>
    </row>
    <row r="164" spans="1:7" x14ac:dyDescent="0.35">
      <c r="A164" s="10" t="s">
        <v>169</v>
      </c>
      <c r="B164" s="10">
        <v>-1415400</v>
      </c>
      <c r="C164" s="10">
        <v>-1085700</v>
      </c>
      <c r="D164" s="10">
        <v>-1085700</v>
      </c>
      <c r="E164" s="2">
        <v>-1085700</v>
      </c>
      <c r="F164">
        <v>-281000</v>
      </c>
      <c r="G164">
        <v>-281100</v>
      </c>
    </row>
    <row r="165" spans="1:7" x14ac:dyDescent="0.35">
      <c r="A165" s="10" t="s">
        <v>170</v>
      </c>
      <c r="B165" s="10">
        <v>0</v>
      </c>
      <c r="C165" s="10">
        <v>-100</v>
      </c>
      <c r="D165" s="10">
        <v>-100</v>
      </c>
      <c r="E165" s="2">
        <v>81500</v>
      </c>
      <c r="F165">
        <v>0</v>
      </c>
      <c r="G165">
        <v>0</v>
      </c>
    </row>
    <row r="166" spans="1:7" x14ac:dyDescent="0.35">
      <c r="A166" s="10" t="s">
        <v>171</v>
      </c>
      <c r="B166" s="10">
        <v>0</v>
      </c>
      <c r="C166" s="10">
        <v>-100</v>
      </c>
      <c r="D166" s="10">
        <v>-100</v>
      </c>
      <c r="E166" s="2">
        <v>199900</v>
      </c>
      <c r="F166">
        <v>647400</v>
      </c>
      <c r="G166">
        <v>647500</v>
      </c>
    </row>
    <row r="167" spans="1:7" x14ac:dyDescent="0.35">
      <c r="A167" s="10" t="s">
        <v>172</v>
      </c>
      <c r="B167" s="10">
        <v>640500</v>
      </c>
      <c r="C167" s="10">
        <v>670700</v>
      </c>
      <c r="D167" s="10">
        <v>484100</v>
      </c>
      <c r="E167" s="2">
        <v>356300</v>
      </c>
      <c r="F167">
        <v>806100</v>
      </c>
      <c r="G167">
        <v>806100</v>
      </c>
    </row>
    <row r="168" spans="1:7" x14ac:dyDescent="0.35">
      <c r="A168" s="10" t="s">
        <v>173</v>
      </c>
      <c r="B168" s="10">
        <v>-580000</v>
      </c>
      <c r="C168" s="10">
        <v>-782600</v>
      </c>
      <c r="D168" s="10">
        <v>-782600</v>
      </c>
      <c r="E168" s="2">
        <v>-782600</v>
      </c>
      <c r="F168">
        <v>-782600</v>
      </c>
      <c r="G168">
        <v>-782600</v>
      </c>
    </row>
    <row r="169" spans="1:7" x14ac:dyDescent="0.35">
      <c r="A169" s="10" t="s">
        <v>174</v>
      </c>
      <c r="B169" s="10">
        <v>0</v>
      </c>
      <c r="C169" s="10">
        <v>647400</v>
      </c>
      <c r="D169" s="10">
        <v>1053700</v>
      </c>
      <c r="E169" s="2">
        <v>1053700</v>
      </c>
      <c r="F169">
        <v>1968400</v>
      </c>
      <c r="G169">
        <v>1968400</v>
      </c>
    </row>
    <row r="170" spans="1:7" x14ac:dyDescent="0.35">
      <c r="A170" s="10" t="s">
        <v>175</v>
      </c>
      <c r="B170" s="10">
        <v>2588100</v>
      </c>
      <c r="C170" s="10">
        <v>3586900</v>
      </c>
      <c r="D170" s="10">
        <v>3169200</v>
      </c>
      <c r="E170" s="2">
        <v>4053900</v>
      </c>
      <c r="F170">
        <v>3973900</v>
      </c>
      <c r="G170">
        <v>3973900</v>
      </c>
    </row>
    <row r="171" spans="1:7" x14ac:dyDescent="0.35">
      <c r="A171" s="10" t="s">
        <v>149</v>
      </c>
      <c r="B171" s="10">
        <v>-1448500</v>
      </c>
      <c r="C171" s="10">
        <v>101900</v>
      </c>
      <c r="D171" s="10">
        <v>0</v>
      </c>
      <c r="E171" s="2">
        <v>-100</v>
      </c>
      <c r="F171">
        <v>-100</v>
      </c>
      <c r="G171">
        <v>0</v>
      </c>
    </row>
    <row r="172" spans="1:7" x14ac:dyDescent="0.35">
      <c r="A172" s="10" t="s">
        <v>176</v>
      </c>
      <c r="B172" s="10">
        <v>1250100</v>
      </c>
      <c r="C172" s="10">
        <v>912900</v>
      </c>
      <c r="D172" s="10">
        <v>1217400</v>
      </c>
      <c r="E172" s="2">
        <v>1095400</v>
      </c>
      <c r="F172">
        <v>850400</v>
      </c>
      <c r="G172">
        <v>850500</v>
      </c>
    </row>
    <row r="173" spans="1:7" x14ac:dyDescent="0.35">
      <c r="A173" s="10" t="s">
        <v>150</v>
      </c>
      <c r="B173" s="10">
        <v>-30100</v>
      </c>
      <c r="C173" s="10">
        <v>425700</v>
      </c>
      <c r="D173" s="10">
        <v>425700</v>
      </c>
      <c r="E173" s="2">
        <v>599900</v>
      </c>
      <c r="F173">
        <v>424300</v>
      </c>
      <c r="G173">
        <v>424200</v>
      </c>
    </row>
    <row r="174" spans="1:7" x14ac:dyDescent="0.35">
      <c r="A174" s="10" t="s">
        <v>151</v>
      </c>
      <c r="B174" s="10">
        <v>-1031900</v>
      </c>
      <c r="C174" s="10">
        <v>-685300</v>
      </c>
      <c r="D174" s="10">
        <v>-685300</v>
      </c>
      <c r="E174" s="2">
        <v>-685300</v>
      </c>
      <c r="F174">
        <v>-127500</v>
      </c>
      <c r="G174">
        <v>-127500</v>
      </c>
    </row>
    <row r="175" spans="1:7" x14ac:dyDescent="0.35">
      <c r="A175" s="10" t="s">
        <v>152</v>
      </c>
      <c r="B175" s="10">
        <v>100</v>
      </c>
      <c r="C175" s="10">
        <v>-6019300</v>
      </c>
      <c r="D175" s="10">
        <v>-6019300</v>
      </c>
      <c r="E175" s="2">
        <v>-6019300</v>
      </c>
      <c r="F175">
        <v>-6019300</v>
      </c>
      <c r="G175">
        <v>-6019400</v>
      </c>
    </row>
    <row r="176" spans="1:7" x14ac:dyDescent="0.35">
      <c r="A176" s="10" t="s">
        <v>153</v>
      </c>
      <c r="B176" s="10">
        <v>0</v>
      </c>
      <c r="C176" s="10">
        <v>-100</v>
      </c>
      <c r="D176" s="10">
        <v>-100</v>
      </c>
      <c r="E176" s="2">
        <v>-100</v>
      </c>
      <c r="F176">
        <v>-100</v>
      </c>
      <c r="G176">
        <v>0</v>
      </c>
    </row>
    <row r="177" spans="1:7" x14ac:dyDescent="0.35">
      <c r="A177" s="10" t="s">
        <v>154</v>
      </c>
      <c r="B177" s="10">
        <v>2551700</v>
      </c>
      <c r="C177" s="10">
        <v>2763700</v>
      </c>
      <c r="D177" s="10">
        <v>2922500</v>
      </c>
      <c r="E177" s="2">
        <v>3477500</v>
      </c>
      <c r="F177">
        <v>4511900</v>
      </c>
      <c r="G177">
        <v>4511900</v>
      </c>
    </row>
    <row r="178" spans="1:7" x14ac:dyDescent="0.35">
      <c r="A178" s="10" t="s">
        <v>155</v>
      </c>
      <c r="B178" s="10">
        <v>4424000</v>
      </c>
      <c r="C178" s="10">
        <v>4491700</v>
      </c>
      <c r="D178" s="10">
        <v>3922300</v>
      </c>
      <c r="E178" s="2">
        <v>3564000</v>
      </c>
      <c r="F178">
        <v>4073900</v>
      </c>
      <c r="G178">
        <v>4073900</v>
      </c>
    </row>
    <row r="179" spans="1:7" x14ac:dyDescent="0.35">
      <c r="A179" s="10" t="s">
        <v>177</v>
      </c>
      <c r="B179" s="10">
        <v>-3603300</v>
      </c>
      <c r="C179" s="10">
        <v>-3586600</v>
      </c>
      <c r="D179" s="10">
        <v>-3983500</v>
      </c>
      <c r="E179" s="2">
        <v>-4188800</v>
      </c>
      <c r="F179">
        <v>-3522500</v>
      </c>
      <c r="G179">
        <v>-3522500</v>
      </c>
    </row>
    <row r="180" spans="1:7" x14ac:dyDescent="0.35">
      <c r="A180" s="10" t="s">
        <v>186</v>
      </c>
      <c r="B180" s="10">
        <v>-3191800</v>
      </c>
      <c r="C180" s="10">
        <v>-3202100</v>
      </c>
      <c r="D180" s="10">
        <v>-2322400</v>
      </c>
      <c r="E180" s="7">
        <v>-2722300</v>
      </c>
      <c r="F180">
        <v>-2032700</v>
      </c>
      <c r="G180">
        <v>-2032800</v>
      </c>
    </row>
    <row r="181" spans="1:7" x14ac:dyDescent="0.35">
      <c r="A181" s="10" t="s">
        <v>187</v>
      </c>
      <c r="B181" s="10">
        <v>-4236500</v>
      </c>
      <c r="C181" s="10">
        <v>-4427200</v>
      </c>
      <c r="D181" s="10">
        <v>-4017200</v>
      </c>
      <c r="E181" s="2">
        <v>-4082200</v>
      </c>
      <c r="F181">
        <v>-3270200</v>
      </c>
      <c r="G181">
        <v>-3270300</v>
      </c>
    </row>
    <row r="182" spans="1:7" x14ac:dyDescent="0.35">
      <c r="A182" s="10" t="s">
        <v>188</v>
      </c>
      <c r="B182" s="10">
        <v>-2045900</v>
      </c>
      <c r="C182" s="10">
        <v>-1562800</v>
      </c>
      <c r="D182" s="10">
        <v>-57000</v>
      </c>
      <c r="E182" s="2">
        <v>-57000</v>
      </c>
      <c r="F182">
        <v>-57000</v>
      </c>
      <c r="G182">
        <v>-57000</v>
      </c>
    </row>
    <row r="183" spans="1:7" x14ac:dyDescent="0.35">
      <c r="A183" s="10" t="s">
        <v>189</v>
      </c>
      <c r="B183" s="10">
        <v>4464200</v>
      </c>
      <c r="C183" s="10">
        <v>4648200</v>
      </c>
      <c r="D183" s="10">
        <v>4648200</v>
      </c>
      <c r="E183" s="2">
        <v>4648200</v>
      </c>
      <c r="F183">
        <v>4648200</v>
      </c>
      <c r="G183">
        <v>4648200</v>
      </c>
    </row>
    <row r="184" spans="1:7" x14ac:dyDescent="0.35">
      <c r="A184" s="10" t="s">
        <v>190</v>
      </c>
      <c r="B184" s="10">
        <v>-4105900</v>
      </c>
      <c r="C184" s="10">
        <v>-3579900</v>
      </c>
      <c r="D184" s="10">
        <v>-2925800</v>
      </c>
      <c r="E184" s="2">
        <v>-2925800</v>
      </c>
      <c r="F184">
        <v>-954200</v>
      </c>
      <c r="G184">
        <v>-954200</v>
      </c>
    </row>
    <row r="185" spans="1:7" x14ac:dyDescent="0.35">
      <c r="A185" s="10" t="s">
        <v>191</v>
      </c>
      <c r="B185" s="10">
        <v>1131000</v>
      </c>
      <c r="C185" s="10">
        <v>1403400</v>
      </c>
      <c r="D185" s="10">
        <v>1727500</v>
      </c>
      <c r="E185" s="2">
        <v>2369500</v>
      </c>
      <c r="F185">
        <v>2366800</v>
      </c>
      <c r="G185">
        <v>2366800</v>
      </c>
    </row>
    <row r="186" spans="1:7" x14ac:dyDescent="0.35">
      <c r="A186" s="10" t="s">
        <v>192</v>
      </c>
      <c r="B186" s="10">
        <v>400000</v>
      </c>
      <c r="C186" s="10">
        <v>1279100</v>
      </c>
      <c r="D186" s="10">
        <v>779100</v>
      </c>
      <c r="E186" s="2">
        <v>511800</v>
      </c>
      <c r="F186">
        <v>511700</v>
      </c>
      <c r="G186">
        <v>511700</v>
      </c>
    </row>
    <row r="187" spans="1:7" x14ac:dyDescent="0.35">
      <c r="A187" s="10" t="s">
        <v>193</v>
      </c>
      <c r="B187" s="10">
        <v>-603500</v>
      </c>
      <c r="C187" s="10">
        <v>586100</v>
      </c>
      <c r="D187" s="10">
        <v>1590700</v>
      </c>
      <c r="E187" s="2">
        <v>1328400</v>
      </c>
      <c r="F187">
        <v>2489300</v>
      </c>
      <c r="G187">
        <v>2489300</v>
      </c>
    </row>
    <row r="188" spans="1:7" x14ac:dyDescent="0.35">
      <c r="A188" s="10" t="s">
        <v>194</v>
      </c>
      <c r="B188" s="10">
        <v>-126700</v>
      </c>
      <c r="C188" s="10">
        <v>189000</v>
      </c>
      <c r="D188" s="10">
        <v>374100</v>
      </c>
      <c r="E188" s="8">
        <v>1319400</v>
      </c>
      <c r="F188">
        <v>1400000</v>
      </c>
      <c r="G188">
        <v>1400000</v>
      </c>
    </row>
    <row r="189" spans="1:7" x14ac:dyDescent="0.35">
      <c r="A189" s="10" t="s">
        <v>195</v>
      </c>
      <c r="B189" s="10">
        <v>1728700</v>
      </c>
      <c r="C189" s="10">
        <v>2640600</v>
      </c>
      <c r="D189" s="10">
        <v>4079600</v>
      </c>
      <c r="E189" s="7">
        <v>4685600</v>
      </c>
      <c r="F189">
        <v>6795700</v>
      </c>
      <c r="G189">
        <v>6795700</v>
      </c>
    </row>
    <row r="190" spans="1:7" x14ac:dyDescent="0.35">
      <c r="A190" s="10" t="s">
        <v>178</v>
      </c>
      <c r="B190" s="10">
        <v>-1166400</v>
      </c>
      <c r="C190" s="10">
        <v>-737300</v>
      </c>
      <c r="D190" s="10">
        <v>-4900</v>
      </c>
      <c r="E190" s="2">
        <v>-4900</v>
      </c>
      <c r="F190">
        <v>1212100</v>
      </c>
      <c r="G190">
        <v>1212200</v>
      </c>
    </row>
    <row r="191" spans="1:7" x14ac:dyDescent="0.35">
      <c r="A191" s="10" t="s">
        <v>196</v>
      </c>
      <c r="B191" s="10">
        <v>-3829100</v>
      </c>
      <c r="C191" s="10">
        <v>-3335500</v>
      </c>
      <c r="D191" s="10">
        <v>-1971300</v>
      </c>
      <c r="E191" s="2">
        <v>-1211000</v>
      </c>
      <c r="F191">
        <v>-551000</v>
      </c>
      <c r="G191">
        <v>-551100</v>
      </c>
    </row>
    <row r="192" spans="1:7" x14ac:dyDescent="0.35">
      <c r="A192" s="10" t="s">
        <v>197</v>
      </c>
      <c r="B192" s="10">
        <v>249600</v>
      </c>
      <c r="C192" s="10">
        <v>728200</v>
      </c>
      <c r="D192" s="10">
        <v>378400</v>
      </c>
      <c r="E192" s="2">
        <v>281400</v>
      </c>
      <c r="F192">
        <v>281400</v>
      </c>
      <c r="G192">
        <v>281400</v>
      </c>
    </row>
    <row r="193" spans="1:7" x14ac:dyDescent="0.35">
      <c r="A193" s="10" t="s">
        <v>198</v>
      </c>
      <c r="B193" s="10">
        <v>-3200100</v>
      </c>
      <c r="C193" s="10">
        <v>-2393500</v>
      </c>
      <c r="D193" s="10">
        <v>-2210000</v>
      </c>
      <c r="E193" s="2">
        <v>-2267100</v>
      </c>
      <c r="F193">
        <v>-1602000</v>
      </c>
      <c r="G193">
        <v>-1602000</v>
      </c>
    </row>
    <row r="194" spans="1:7" x14ac:dyDescent="0.35">
      <c r="A194" s="10" t="s">
        <v>199</v>
      </c>
      <c r="B194" s="10">
        <v>-198900</v>
      </c>
      <c r="C194" s="10">
        <v>232700</v>
      </c>
      <c r="D194" s="10">
        <v>460200</v>
      </c>
      <c r="E194" s="2">
        <v>436900</v>
      </c>
      <c r="F194">
        <v>603300</v>
      </c>
      <c r="G194">
        <v>603400</v>
      </c>
    </row>
    <row r="195" spans="1:7" x14ac:dyDescent="0.35">
      <c r="A195" s="10" t="s">
        <v>200</v>
      </c>
      <c r="B195" s="10">
        <v>-458700</v>
      </c>
      <c r="C195" s="10">
        <v>-460200</v>
      </c>
      <c r="D195" s="10">
        <v>0</v>
      </c>
      <c r="E195" s="2">
        <v>0</v>
      </c>
      <c r="F195">
        <v>0</v>
      </c>
      <c r="G195">
        <v>0</v>
      </c>
    </row>
    <row r="196" spans="1:7" x14ac:dyDescent="0.35">
      <c r="A196" s="10" t="s">
        <v>201</v>
      </c>
      <c r="B196" s="10">
        <v>1188800</v>
      </c>
      <c r="C196" s="10">
        <v>-100</v>
      </c>
      <c r="D196" s="10">
        <v>-100</v>
      </c>
      <c r="E196" s="2">
        <v>-100</v>
      </c>
      <c r="F196">
        <v>-100</v>
      </c>
      <c r="G196">
        <v>0</v>
      </c>
    </row>
    <row r="197" spans="1:7" x14ac:dyDescent="0.35">
      <c r="A197" s="10" t="s">
        <v>202</v>
      </c>
      <c r="B197" s="10">
        <v>-3542900</v>
      </c>
      <c r="C197" s="10">
        <v>-2106900</v>
      </c>
      <c r="D197" s="10">
        <v>-2706900</v>
      </c>
      <c r="E197" s="9">
        <v>-1852600</v>
      </c>
      <c r="F197">
        <v>-1270900</v>
      </c>
      <c r="G197">
        <v>-1270900</v>
      </c>
    </row>
    <row r="198" spans="1:7" x14ac:dyDescent="0.35">
      <c r="A198" s="10" t="s">
        <v>203</v>
      </c>
      <c r="B198" s="10">
        <v>-100</v>
      </c>
      <c r="C198" s="10">
        <v>-100</v>
      </c>
      <c r="D198" s="10">
        <v>-100</v>
      </c>
      <c r="E198" s="2">
        <v>-100</v>
      </c>
      <c r="F198">
        <v>-100</v>
      </c>
      <c r="G198">
        <v>0</v>
      </c>
    </row>
    <row r="199" spans="1:7" x14ac:dyDescent="0.35">
      <c r="A199" s="10" t="s">
        <v>204</v>
      </c>
      <c r="B199" s="10">
        <v>-114300</v>
      </c>
      <c r="C199" s="10">
        <v>-114700</v>
      </c>
      <c r="D199" s="10">
        <v>-114700</v>
      </c>
      <c r="E199" s="2">
        <v>-114700</v>
      </c>
      <c r="F199">
        <v>-114700</v>
      </c>
      <c r="G199">
        <v>-114700</v>
      </c>
    </row>
    <row r="200" spans="1:7" x14ac:dyDescent="0.35">
      <c r="A200" s="10" t="s">
        <v>205</v>
      </c>
      <c r="B200" s="10">
        <v>-2066000</v>
      </c>
      <c r="C200" s="10">
        <v>-658800</v>
      </c>
      <c r="D200" s="10">
        <v>0</v>
      </c>
      <c r="E200" s="2">
        <v>-571600</v>
      </c>
      <c r="F200">
        <v>0</v>
      </c>
      <c r="G200">
        <v>0</v>
      </c>
    </row>
    <row r="201" spans="1:7" x14ac:dyDescent="0.35">
      <c r="A201" s="10" t="s">
        <v>179</v>
      </c>
      <c r="B201" s="10">
        <v>408100</v>
      </c>
      <c r="C201" s="10">
        <v>100</v>
      </c>
      <c r="D201" s="10">
        <v>100</v>
      </c>
      <c r="E201" s="2">
        <v>100</v>
      </c>
      <c r="F201">
        <v>100</v>
      </c>
      <c r="G201">
        <v>0</v>
      </c>
    </row>
    <row r="202" spans="1:7" x14ac:dyDescent="0.35">
      <c r="A202" s="10" t="s">
        <v>206</v>
      </c>
      <c r="B202" s="10">
        <v>-784900</v>
      </c>
      <c r="C202" s="10">
        <v>-28900</v>
      </c>
      <c r="D202" s="10">
        <v>-28900</v>
      </c>
      <c r="E202" s="2">
        <v>-28900</v>
      </c>
      <c r="F202">
        <v>-28900</v>
      </c>
      <c r="G202">
        <v>-28800</v>
      </c>
    </row>
    <row r="203" spans="1:7" x14ac:dyDescent="0.35">
      <c r="A203" s="10" t="s">
        <v>207</v>
      </c>
      <c r="B203" s="10">
        <v>-747600</v>
      </c>
      <c r="C203" s="10">
        <v>-969300</v>
      </c>
      <c r="D203" s="10">
        <v>-463800</v>
      </c>
      <c r="E203" s="2">
        <v>-1093700</v>
      </c>
      <c r="F203">
        <v>-1194000</v>
      </c>
      <c r="G203">
        <v>-1194000</v>
      </c>
    </row>
    <row r="204" spans="1:7" x14ac:dyDescent="0.35">
      <c r="A204" s="10" t="s">
        <v>208</v>
      </c>
      <c r="B204" s="10">
        <v>-1557100</v>
      </c>
      <c r="C204" s="10">
        <v>-1040900</v>
      </c>
      <c r="D204" s="10">
        <v>-323200</v>
      </c>
      <c r="E204" s="2">
        <v>-523300</v>
      </c>
      <c r="F204">
        <v>-317000</v>
      </c>
      <c r="G204">
        <v>-317000</v>
      </c>
    </row>
    <row r="205" spans="1:7" x14ac:dyDescent="0.35">
      <c r="A205" s="10" t="s">
        <v>209</v>
      </c>
      <c r="B205" s="10">
        <v>1198500</v>
      </c>
      <c r="C205" s="10">
        <v>100</v>
      </c>
      <c r="D205" s="10">
        <v>-30000</v>
      </c>
      <c r="E205" s="2">
        <v>-30100</v>
      </c>
      <c r="F205">
        <v>-30100</v>
      </c>
      <c r="G205">
        <v>-30000</v>
      </c>
    </row>
    <row r="206" spans="1:7" x14ac:dyDescent="0.35">
      <c r="A206" s="10" t="s">
        <v>210</v>
      </c>
      <c r="B206" s="10">
        <v>-221800</v>
      </c>
      <c r="C206" s="10">
        <v>-222600</v>
      </c>
      <c r="D206" s="10">
        <v>353100</v>
      </c>
      <c r="E206" s="2">
        <v>-95000</v>
      </c>
      <c r="F206">
        <v>587200</v>
      </c>
      <c r="G206">
        <v>587200</v>
      </c>
    </row>
    <row r="207" spans="1:7" x14ac:dyDescent="0.35">
      <c r="A207" s="10" t="s">
        <v>211</v>
      </c>
      <c r="B207" s="10">
        <v>-419600</v>
      </c>
      <c r="C207" s="10">
        <v>186700</v>
      </c>
      <c r="D207" s="10">
        <v>152000</v>
      </c>
      <c r="E207" s="2">
        <v>0</v>
      </c>
      <c r="F207">
        <v>789300</v>
      </c>
      <c r="G207">
        <v>789400</v>
      </c>
    </row>
    <row r="208" spans="1:7" x14ac:dyDescent="0.35">
      <c r="A208" s="10" t="s">
        <v>180</v>
      </c>
      <c r="B208" s="10">
        <v>-325300</v>
      </c>
      <c r="C208" s="10">
        <v>-326300</v>
      </c>
      <c r="D208" s="10">
        <v>-326300</v>
      </c>
      <c r="E208" s="2">
        <v>-326300</v>
      </c>
      <c r="F208">
        <v>-316300</v>
      </c>
      <c r="G208">
        <v>-316300</v>
      </c>
    </row>
    <row r="209" spans="1:7" x14ac:dyDescent="0.35">
      <c r="A209" s="10" t="s">
        <v>181</v>
      </c>
      <c r="B209" s="10">
        <v>-15652900</v>
      </c>
      <c r="C209" s="10">
        <v>-15607200</v>
      </c>
      <c r="D209" s="10">
        <v>-15027200</v>
      </c>
      <c r="E209" s="2">
        <v>-15027100</v>
      </c>
      <c r="F209">
        <v>-13921100</v>
      </c>
      <c r="G209">
        <v>-13921000</v>
      </c>
    </row>
    <row r="210" spans="1:7" x14ac:dyDescent="0.35">
      <c r="A210" s="10" t="s">
        <v>182</v>
      </c>
      <c r="B210" s="10">
        <v>1366400</v>
      </c>
      <c r="C210" s="10">
        <v>1589000</v>
      </c>
      <c r="D210" s="10">
        <v>1300000</v>
      </c>
      <c r="E210" s="2">
        <v>1300000</v>
      </c>
      <c r="F210">
        <v>1460400</v>
      </c>
      <c r="G210">
        <v>1460400</v>
      </c>
    </row>
    <row r="211" spans="1:7" x14ac:dyDescent="0.35">
      <c r="A211" s="10" t="s">
        <v>183</v>
      </c>
      <c r="B211" s="10">
        <v>-3279600</v>
      </c>
      <c r="C211" s="10">
        <v>-2543400</v>
      </c>
      <c r="D211" s="10">
        <v>-2369100</v>
      </c>
      <c r="E211" s="2">
        <v>-1546000</v>
      </c>
      <c r="F211">
        <v>-1546000</v>
      </c>
      <c r="G211">
        <v>-1546000</v>
      </c>
    </row>
    <row r="212" spans="1:7" x14ac:dyDescent="0.35">
      <c r="A212" s="10" t="s">
        <v>184</v>
      </c>
      <c r="B212" s="10">
        <v>-13453900</v>
      </c>
      <c r="C212" s="10">
        <v>-11830800</v>
      </c>
      <c r="D212" s="10">
        <v>-11830800</v>
      </c>
      <c r="E212" s="2">
        <v>-11830800</v>
      </c>
      <c r="F212">
        <v>-11840800</v>
      </c>
      <c r="G212">
        <v>-11840800</v>
      </c>
    </row>
    <row r="213" spans="1:7" x14ac:dyDescent="0.35">
      <c r="A213" s="10" t="s">
        <v>185</v>
      </c>
      <c r="B213" s="10">
        <v>1152300</v>
      </c>
      <c r="C213" s="10">
        <v>1003300</v>
      </c>
      <c r="D213" s="10">
        <v>1000400</v>
      </c>
      <c r="E213" s="2">
        <v>1723800</v>
      </c>
      <c r="F213">
        <v>2034600</v>
      </c>
      <c r="G213">
        <v>2034700</v>
      </c>
    </row>
    <row r="214" spans="1:7" x14ac:dyDescent="0.35">
      <c r="A214" s="10" t="s">
        <v>212</v>
      </c>
      <c r="B214" s="10">
        <v>-1482700</v>
      </c>
      <c r="C214" s="10">
        <v>-928700</v>
      </c>
      <c r="D214" s="10">
        <v>-1080600</v>
      </c>
      <c r="E214" s="2">
        <v>-1080600</v>
      </c>
      <c r="F214">
        <v>-842100</v>
      </c>
      <c r="G214">
        <v>-842000</v>
      </c>
    </row>
    <row r="215" spans="1:7" x14ac:dyDescent="0.35">
      <c r="A215" s="10" t="s">
        <v>221</v>
      </c>
      <c r="B215" s="10">
        <v>-79300</v>
      </c>
      <c r="C215" s="10">
        <v>-79600</v>
      </c>
      <c r="D215" s="10">
        <v>-79600</v>
      </c>
      <c r="E215" s="2">
        <v>-79600</v>
      </c>
      <c r="F215">
        <v>-79600</v>
      </c>
      <c r="G215">
        <v>-79600</v>
      </c>
    </row>
    <row r="216" spans="1:7" x14ac:dyDescent="0.35">
      <c r="A216" s="10" t="s">
        <v>222</v>
      </c>
      <c r="B216" s="10">
        <v>793800</v>
      </c>
      <c r="C216" s="10">
        <v>995400</v>
      </c>
      <c r="D216" s="10">
        <v>630400</v>
      </c>
      <c r="E216" s="2">
        <v>1376800</v>
      </c>
      <c r="F216">
        <v>1140200</v>
      </c>
      <c r="G216">
        <v>1140200</v>
      </c>
    </row>
    <row r="217" spans="1:7" x14ac:dyDescent="0.35">
      <c r="A217" s="10" t="s">
        <v>223</v>
      </c>
      <c r="B217" s="10">
        <v>377600</v>
      </c>
      <c r="C217" s="10">
        <v>1100</v>
      </c>
      <c r="D217" s="10">
        <v>0</v>
      </c>
      <c r="E217" s="2">
        <v>449700</v>
      </c>
      <c r="F217">
        <v>642700</v>
      </c>
      <c r="G217">
        <v>642800</v>
      </c>
    </row>
    <row r="218" spans="1:7" x14ac:dyDescent="0.35">
      <c r="A218" s="10" t="s">
        <v>224</v>
      </c>
      <c r="B218" s="10">
        <v>0</v>
      </c>
      <c r="C218" s="10">
        <v>-100</v>
      </c>
      <c r="D218" s="10">
        <v>-34000</v>
      </c>
      <c r="E218" s="2">
        <v>820300</v>
      </c>
      <c r="F218">
        <v>259800</v>
      </c>
      <c r="G218">
        <v>260000</v>
      </c>
    </row>
    <row r="219" spans="1:7" x14ac:dyDescent="0.35">
      <c r="A219" s="10" t="s">
        <v>225</v>
      </c>
      <c r="B219" s="10">
        <v>1790700</v>
      </c>
      <c r="C219" s="10">
        <v>2332600</v>
      </c>
      <c r="D219" s="10">
        <v>2130800</v>
      </c>
      <c r="E219" s="2">
        <v>2949600</v>
      </c>
      <c r="F219">
        <v>2797100</v>
      </c>
      <c r="G219">
        <v>2797100</v>
      </c>
    </row>
    <row r="220" spans="1:7" x14ac:dyDescent="0.35">
      <c r="A220" s="10" t="s">
        <v>226</v>
      </c>
      <c r="B220" s="10">
        <v>2468900</v>
      </c>
      <c r="C220" s="10">
        <v>2591500</v>
      </c>
      <c r="D220" s="10">
        <v>1407000</v>
      </c>
      <c r="E220" s="2">
        <v>2764300</v>
      </c>
      <c r="F220">
        <v>3615800</v>
      </c>
      <c r="G220">
        <v>3615800</v>
      </c>
    </row>
    <row r="221" spans="1:7" x14ac:dyDescent="0.35">
      <c r="A221" s="10" t="s">
        <v>227</v>
      </c>
      <c r="B221" s="10">
        <v>-2504500</v>
      </c>
      <c r="C221" s="10">
        <v>-2512600</v>
      </c>
      <c r="D221" s="10">
        <v>-2512600</v>
      </c>
      <c r="E221" s="2">
        <v>-2512500</v>
      </c>
      <c r="F221">
        <v>-2512500</v>
      </c>
      <c r="G221">
        <v>-2512500</v>
      </c>
    </row>
    <row r="222" spans="1:7" x14ac:dyDescent="0.35">
      <c r="A222" s="10" t="s">
        <v>228</v>
      </c>
      <c r="B222" s="10">
        <v>-4997100</v>
      </c>
      <c r="C222" s="10">
        <v>-5213900</v>
      </c>
      <c r="D222" s="10">
        <v>-5413900</v>
      </c>
      <c r="E222" s="2">
        <v>-5513900</v>
      </c>
      <c r="F222">
        <v>-5613900</v>
      </c>
      <c r="G222">
        <v>-5613900</v>
      </c>
    </row>
    <row r="223" spans="1:7" x14ac:dyDescent="0.35">
      <c r="A223" s="10" t="s">
        <v>229</v>
      </c>
      <c r="B223" s="10">
        <v>100</v>
      </c>
      <c r="C223" s="10">
        <v>1400</v>
      </c>
      <c r="D223" s="10">
        <v>0</v>
      </c>
      <c r="E223" s="2">
        <v>0</v>
      </c>
      <c r="F223">
        <v>0</v>
      </c>
      <c r="G223">
        <v>0</v>
      </c>
    </row>
    <row r="224" spans="1:7" x14ac:dyDescent="0.35">
      <c r="A224" s="10" t="s">
        <v>230</v>
      </c>
      <c r="B224" s="10">
        <v>-184200</v>
      </c>
      <c r="C224" s="10">
        <v>-184800</v>
      </c>
      <c r="D224" s="10">
        <v>-184800</v>
      </c>
      <c r="E224" s="2">
        <v>-184800</v>
      </c>
      <c r="F224">
        <v>-184800</v>
      </c>
      <c r="G224">
        <v>-241800</v>
      </c>
    </row>
    <row r="225" spans="1:7" x14ac:dyDescent="0.35">
      <c r="A225" s="10" t="s">
        <v>213</v>
      </c>
      <c r="B225" s="10">
        <v>-9157300</v>
      </c>
      <c r="C225" s="10">
        <v>-9186700</v>
      </c>
      <c r="D225" s="10">
        <v>-9186700</v>
      </c>
      <c r="E225" s="2">
        <v>-9186700</v>
      </c>
      <c r="F225">
        <v>-9186700</v>
      </c>
      <c r="G225">
        <v>-9186600</v>
      </c>
    </row>
    <row r="226" spans="1:7" x14ac:dyDescent="0.35">
      <c r="A226" s="10" t="s">
        <v>231</v>
      </c>
      <c r="B226" s="10">
        <v>-210100</v>
      </c>
      <c r="C226" s="10">
        <v>-210900</v>
      </c>
      <c r="D226" s="10">
        <v>-260900</v>
      </c>
      <c r="E226" s="2">
        <v>-260900</v>
      </c>
      <c r="F226">
        <v>-260900</v>
      </c>
      <c r="G226">
        <v>-260900</v>
      </c>
    </row>
    <row r="227" spans="1:7" x14ac:dyDescent="0.35">
      <c r="A227" s="10" t="s">
        <v>232</v>
      </c>
      <c r="B227" s="10">
        <v>5407700</v>
      </c>
      <c r="C227" s="10">
        <v>0</v>
      </c>
      <c r="D227" s="10">
        <v>0</v>
      </c>
      <c r="E227" s="2">
        <v>0</v>
      </c>
      <c r="F227">
        <v>10000</v>
      </c>
      <c r="G227">
        <v>10000</v>
      </c>
    </row>
    <row r="228" spans="1:7" x14ac:dyDescent="0.35">
      <c r="A228" s="10" t="s">
        <v>233</v>
      </c>
      <c r="B228" s="10">
        <v>-385900</v>
      </c>
      <c r="C228" s="10">
        <v>935800</v>
      </c>
      <c r="D228" s="10">
        <v>2241300</v>
      </c>
      <c r="E228" s="2">
        <v>2241300</v>
      </c>
      <c r="F228">
        <v>2251300</v>
      </c>
      <c r="G228">
        <v>2251300</v>
      </c>
    </row>
    <row r="229" spans="1:7" x14ac:dyDescent="0.35">
      <c r="A229" s="10" t="s">
        <v>234</v>
      </c>
      <c r="B229" s="10">
        <v>-729000</v>
      </c>
      <c r="C229" s="10">
        <v>-476800</v>
      </c>
      <c r="D229" s="10">
        <v>-476800</v>
      </c>
      <c r="E229" s="2">
        <v>-476800</v>
      </c>
      <c r="F229">
        <v>0</v>
      </c>
      <c r="G229">
        <v>0</v>
      </c>
    </row>
    <row r="230" spans="1:7" x14ac:dyDescent="0.35">
      <c r="A230" s="10" t="s">
        <v>235</v>
      </c>
      <c r="B230" s="10">
        <v>3810100</v>
      </c>
      <c r="C230" s="10">
        <v>3867600</v>
      </c>
      <c r="D230" s="10">
        <v>3477400</v>
      </c>
      <c r="E230" s="2">
        <v>3144000</v>
      </c>
      <c r="F230">
        <v>3627800</v>
      </c>
      <c r="G230">
        <v>3627800</v>
      </c>
    </row>
    <row r="231" spans="1:7" x14ac:dyDescent="0.35">
      <c r="A231" s="10" t="s">
        <v>236</v>
      </c>
      <c r="B231" s="10">
        <v>590300</v>
      </c>
      <c r="C231" s="10">
        <v>1900</v>
      </c>
      <c r="D231" s="10">
        <v>0</v>
      </c>
      <c r="E231" s="2">
        <v>-27100</v>
      </c>
      <c r="F231">
        <v>659900</v>
      </c>
      <c r="G231">
        <v>660000</v>
      </c>
    </row>
    <row r="232" spans="1:7" x14ac:dyDescent="0.35">
      <c r="A232" s="10" t="s">
        <v>237</v>
      </c>
      <c r="B232" s="10">
        <v>-88500</v>
      </c>
      <c r="C232" s="10">
        <v>-88900</v>
      </c>
      <c r="D232" s="10">
        <v>-88900</v>
      </c>
      <c r="E232" s="2">
        <v>-48100</v>
      </c>
      <c r="F232">
        <v>-48100</v>
      </c>
      <c r="G232">
        <v>-48100</v>
      </c>
    </row>
    <row r="233" spans="1:7" x14ac:dyDescent="0.35">
      <c r="A233" s="10" t="s">
        <v>238</v>
      </c>
      <c r="B233" s="10">
        <v>-676000</v>
      </c>
      <c r="C233" s="10">
        <v>-627800</v>
      </c>
      <c r="D233" s="10">
        <v>-627800</v>
      </c>
      <c r="E233" s="2">
        <v>-627800</v>
      </c>
      <c r="F233">
        <v>0</v>
      </c>
      <c r="G233">
        <v>0</v>
      </c>
    </row>
    <row r="234" spans="1:7" x14ac:dyDescent="0.35">
      <c r="A234" s="10" t="s">
        <v>239</v>
      </c>
      <c r="B234" s="10">
        <v>-709000</v>
      </c>
      <c r="C234" s="10">
        <v>-100</v>
      </c>
      <c r="D234" s="10">
        <v>-100</v>
      </c>
      <c r="E234" s="2">
        <v>-100</v>
      </c>
      <c r="F234">
        <v>-100</v>
      </c>
      <c r="G234">
        <v>0</v>
      </c>
    </row>
    <row r="235" spans="1:7" x14ac:dyDescent="0.35">
      <c r="A235" s="10" t="s">
        <v>240</v>
      </c>
      <c r="B235" s="10">
        <v>-724900</v>
      </c>
      <c r="C235" s="10">
        <v>-517100</v>
      </c>
      <c r="D235" s="10">
        <v>86300</v>
      </c>
      <c r="E235" s="2">
        <v>303200</v>
      </c>
      <c r="F235">
        <v>263600</v>
      </c>
      <c r="G235">
        <v>263600</v>
      </c>
    </row>
    <row r="236" spans="1:7" x14ac:dyDescent="0.35">
      <c r="A236" s="10" t="s">
        <v>214</v>
      </c>
      <c r="B236" s="10">
        <v>1401800</v>
      </c>
      <c r="C236" s="10">
        <v>-173400</v>
      </c>
      <c r="D236" s="10">
        <v>-173400</v>
      </c>
      <c r="E236" s="2">
        <v>-173400</v>
      </c>
      <c r="F236">
        <v>0</v>
      </c>
      <c r="G236">
        <v>0</v>
      </c>
    </row>
    <row r="237" spans="1:7" x14ac:dyDescent="0.35">
      <c r="A237" s="10" t="s">
        <v>241</v>
      </c>
      <c r="B237" s="10">
        <v>-110500</v>
      </c>
      <c r="C237" s="10">
        <v>-10600</v>
      </c>
      <c r="D237" s="10">
        <v>-10600</v>
      </c>
      <c r="E237" s="2">
        <v>697500</v>
      </c>
      <c r="F237">
        <v>697500</v>
      </c>
      <c r="G237">
        <v>697600</v>
      </c>
    </row>
    <row r="238" spans="1:7" x14ac:dyDescent="0.35">
      <c r="A238" s="10" t="s">
        <v>242</v>
      </c>
      <c r="B238" s="10">
        <v>-382000</v>
      </c>
      <c r="C238" s="10">
        <v>-100</v>
      </c>
      <c r="D238" s="10">
        <v>410000</v>
      </c>
      <c r="E238" s="2">
        <v>0</v>
      </c>
      <c r="F238">
        <v>200000</v>
      </c>
      <c r="G238">
        <v>200000</v>
      </c>
    </row>
    <row r="239" spans="1:7" x14ac:dyDescent="0.35">
      <c r="A239" s="10" t="s">
        <v>243</v>
      </c>
      <c r="B239" s="10">
        <v>-1300700</v>
      </c>
      <c r="C239" s="10">
        <v>-839100</v>
      </c>
      <c r="D239" s="10">
        <v>-892500</v>
      </c>
      <c r="E239" s="2">
        <v>-892500</v>
      </c>
      <c r="F239">
        <v>-150500</v>
      </c>
      <c r="G239">
        <v>-150500</v>
      </c>
    </row>
    <row r="240" spans="1:7" x14ac:dyDescent="0.35">
      <c r="A240" s="10" t="s">
        <v>244</v>
      </c>
      <c r="B240" s="10">
        <v>-239400</v>
      </c>
      <c r="C240" s="10">
        <v>-240300</v>
      </c>
      <c r="D240" s="10">
        <v>-240300</v>
      </c>
      <c r="E240" s="2">
        <v>-240300</v>
      </c>
      <c r="F240">
        <v>562900</v>
      </c>
      <c r="G240">
        <v>562900</v>
      </c>
    </row>
    <row r="241" spans="1:7" x14ac:dyDescent="0.35">
      <c r="A241" s="10" t="s">
        <v>245</v>
      </c>
      <c r="B241" s="10">
        <v>471000</v>
      </c>
      <c r="C241" s="10">
        <v>271900</v>
      </c>
      <c r="D241" s="10">
        <v>271900</v>
      </c>
      <c r="E241" s="2">
        <v>271900</v>
      </c>
      <c r="F241">
        <v>271900</v>
      </c>
      <c r="G241">
        <v>271900</v>
      </c>
    </row>
    <row r="242" spans="1:7" x14ac:dyDescent="0.35">
      <c r="A242" s="10" t="s">
        <v>246</v>
      </c>
      <c r="B242" s="10">
        <v>900000</v>
      </c>
      <c r="C242" s="10">
        <v>1003300</v>
      </c>
      <c r="D242" s="10">
        <v>900000</v>
      </c>
      <c r="E242" s="2">
        <v>1000000</v>
      </c>
      <c r="F242">
        <v>1600000</v>
      </c>
      <c r="G242">
        <v>1600000</v>
      </c>
    </row>
    <row r="243" spans="1:7" x14ac:dyDescent="0.35">
      <c r="A243" s="10" t="s">
        <v>247</v>
      </c>
      <c r="B243" s="10">
        <v>-370700</v>
      </c>
      <c r="C243" s="10">
        <v>-62500</v>
      </c>
      <c r="D243" s="10">
        <v>-62500</v>
      </c>
      <c r="E243" s="2">
        <v>-62500</v>
      </c>
      <c r="F243">
        <v>644900</v>
      </c>
      <c r="G243">
        <v>645000</v>
      </c>
    </row>
    <row r="244" spans="1:7" x14ac:dyDescent="0.35">
      <c r="A244" s="10" t="s">
        <v>248</v>
      </c>
      <c r="B244" s="10">
        <v>-104700</v>
      </c>
      <c r="C244" s="10">
        <v>-205400</v>
      </c>
      <c r="D244" s="10">
        <v>-205400</v>
      </c>
      <c r="E244" s="2">
        <v>-205400</v>
      </c>
      <c r="F244">
        <v>-205400</v>
      </c>
      <c r="G244">
        <v>-205300</v>
      </c>
    </row>
    <row r="245" spans="1:7" x14ac:dyDescent="0.35">
      <c r="A245" s="10" t="s">
        <v>215</v>
      </c>
      <c r="B245" s="10">
        <v>-4392700</v>
      </c>
      <c r="C245" s="10">
        <v>-3512700</v>
      </c>
      <c r="D245" s="10">
        <v>-3512700</v>
      </c>
      <c r="E245" s="2">
        <v>-3712000</v>
      </c>
      <c r="F245">
        <v>-3712000</v>
      </c>
      <c r="G245">
        <v>-3712000</v>
      </c>
    </row>
    <row r="246" spans="1:7" x14ac:dyDescent="0.35">
      <c r="A246" s="10" t="s">
        <v>216</v>
      </c>
      <c r="B246" s="10">
        <v>-1223500</v>
      </c>
      <c r="C246" s="10">
        <v>-1157700</v>
      </c>
      <c r="D246" s="10">
        <v>-1207700</v>
      </c>
      <c r="E246" s="2">
        <v>-1207700</v>
      </c>
      <c r="F246">
        <v>-561600</v>
      </c>
      <c r="G246">
        <v>-561600</v>
      </c>
    </row>
    <row r="247" spans="1:7" x14ac:dyDescent="0.35">
      <c r="A247" s="10" t="s">
        <v>217</v>
      </c>
      <c r="B247" s="10">
        <v>-3545800</v>
      </c>
      <c r="C247" s="10">
        <v>-4473800</v>
      </c>
      <c r="D247" s="10">
        <v>-5473800</v>
      </c>
      <c r="E247" s="2">
        <v>-6000000</v>
      </c>
      <c r="F247">
        <v>-5323500</v>
      </c>
      <c r="G247">
        <v>-5323500</v>
      </c>
    </row>
    <row r="248" spans="1:7" x14ac:dyDescent="0.35">
      <c r="A248" s="10" t="s">
        <v>218</v>
      </c>
      <c r="B248" s="10">
        <v>-4115100</v>
      </c>
      <c r="C248" s="10">
        <v>-4639900</v>
      </c>
      <c r="D248" s="10">
        <v>-4639900</v>
      </c>
      <c r="E248" s="2">
        <v>-6000000</v>
      </c>
      <c r="F248">
        <v>-4682400</v>
      </c>
      <c r="G248">
        <v>-4682400</v>
      </c>
    </row>
    <row r="249" spans="1:7" x14ac:dyDescent="0.35">
      <c r="A249" s="10" t="s">
        <v>219</v>
      </c>
      <c r="B249" s="10">
        <v>6018900</v>
      </c>
      <c r="C249" s="10">
        <v>100</v>
      </c>
      <c r="D249" s="10">
        <v>-6000000</v>
      </c>
      <c r="E249" s="2">
        <v>-6000100</v>
      </c>
      <c r="F249">
        <v>-5094200</v>
      </c>
      <c r="G249">
        <v>-5094200</v>
      </c>
    </row>
    <row r="250" spans="1:7" x14ac:dyDescent="0.35">
      <c r="A250" s="10" t="s">
        <v>220</v>
      </c>
      <c r="B250" s="10">
        <v>-2963900</v>
      </c>
      <c r="C250" s="10">
        <v>-1968200</v>
      </c>
      <c r="D250" s="10">
        <v>-1968200</v>
      </c>
      <c r="E250" s="2">
        <v>-1968200</v>
      </c>
      <c r="F250">
        <v>-1968200</v>
      </c>
      <c r="G250">
        <v>-1968200</v>
      </c>
    </row>
    <row r="251" spans="1:7" x14ac:dyDescent="0.35">
      <c r="A251" s="10" t="s">
        <v>249</v>
      </c>
      <c r="B251" s="10">
        <v>3953700</v>
      </c>
      <c r="C251" s="10">
        <v>5297200</v>
      </c>
      <c r="D251" s="10">
        <v>5249100</v>
      </c>
      <c r="E251" s="2">
        <v>5163000</v>
      </c>
      <c r="F251">
        <v>5799700</v>
      </c>
      <c r="G251">
        <v>5799700</v>
      </c>
    </row>
    <row r="252" spans="1:7" x14ac:dyDescent="0.35">
      <c r="A252" s="10" t="s">
        <v>256</v>
      </c>
      <c r="B252" s="10">
        <v>-100</v>
      </c>
      <c r="C252" s="10">
        <v>483900</v>
      </c>
      <c r="D252" s="10">
        <v>0</v>
      </c>
      <c r="E252" s="2">
        <v>-100</v>
      </c>
      <c r="F252">
        <v>1454100</v>
      </c>
      <c r="G252">
        <v>1454200</v>
      </c>
    </row>
    <row r="253" spans="1:7" x14ac:dyDescent="0.35">
      <c r="A253" s="10" t="s">
        <v>257</v>
      </c>
      <c r="B253" s="10">
        <v>1913300</v>
      </c>
      <c r="C253" s="10">
        <v>2679600</v>
      </c>
      <c r="D253" s="10">
        <v>2607600</v>
      </c>
      <c r="E253" s="2">
        <v>3552400</v>
      </c>
      <c r="F253">
        <v>4206600</v>
      </c>
      <c r="G253">
        <v>4206600</v>
      </c>
    </row>
    <row r="254" spans="1:7" x14ac:dyDescent="0.35">
      <c r="A254" s="10" t="s">
        <v>258</v>
      </c>
      <c r="B254" s="10">
        <v>5189000</v>
      </c>
      <c r="C254" s="10">
        <v>7059100</v>
      </c>
      <c r="D254" s="10">
        <v>7508700</v>
      </c>
      <c r="E254" s="2">
        <v>9592600</v>
      </c>
      <c r="F254">
        <v>10040000</v>
      </c>
      <c r="G254">
        <v>10039900</v>
      </c>
    </row>
    <row r="255" spans="1:7" x14ac:dyDescent="0.35">
      <c r="A255" s="10" t="s">
        <v>259</v>
      </c>
      <c r="B255" s="10">
        <v>1242200</v>
      </c>
      <c r="C255" s="10">
        <v>2201500</v>
      </c>
      <c r="D255" s="10">
        <v>2003600</v>
      </c>
      <c r="E255" s="2">
        <v>4000000</v>
      </c>
      <c r="F255">
        <v>5321800</v>
      </c>
      <c r="G255">
        <v>5321900</v>
      </c>
    </row>
    <row r="256" spans="1:7" x14ac:dyDescent="0.35">
      <c r="A256" s="10" t="s">
        <v>260</v>
      </c>
      <c r="B256" s="10">
        <v>-128800</v>
      </c>
      <c r="C256" s="10">
        <v>289200</v>
      </c>
      <c r="D256" s="10">
        <v>0</v>
      </c>
      <c r="E256" s="2">
        <v>1253200</v>
      </c>
      <c r="F256">
        <v>1974600</v>
      </c>
      <c r="G256">
        <v>1974700</v>
      </c>
    </row>
    <row r="257" spans="1:7" x14ac:dyDescent="0.35">
      <c r="A257" s="10" t="s">
        <v>261</v>
      </c>
      <c r="B257" s="10">
        <v>-63700</v>
      </c>
      <c r="C257" s="10">
        <v>247200</v>
      </c>
      <c r="D257" s="10">
        <v>1989200</v>
      </c>
      <c r="E257" s="2">
        <v>1372000</v>
      </c>
      <c r="F257">
        <v>2197200</v>
      </c>
      <c r="G257">
        <v>2197200</v>
      </c>
    </row>
    <row r="258" spans="1:7" x14ac:dyDescent="0.35">
      <c r="A258" s="10" t="s">
        <v>262</v>
      </c>
      <c r="B258" s="10">
        <v>1701500</v>
      </c>
      <c r="C258" s="10">
        <v>2816200</v>
      </c>
      <c r="D258" s="10">
        <v>2755300</v>
      </c>
      <c r="E258" s="2">
        <v>2107200</v>
      </c>
      <c r="F258">
        <v>3000000</v>
      </c>
      <c r="G258">
        <v>3000000</v>
      </c>
    </row>
    <row r="259" spans="1:7" x14ac:dyDescent="0.35">
      <c r="A259" s="10" t="s">
        <v>263</v>
      </c>
      <c r="B259" s="10">
        <v>-1112300</v>
      </c>
      <c r="C259" s="10">
        <v>-200</v>
      </c>
      <c r="D259" s="10">
        <v>1194600</v>
      </c>
      <c r="E259" s="2">
        <v>2390900</v>
      </c>
      <c r="F259">
        <v>1466300</v>
      </c>
      <c r="G259">
        <v>1466300</v>
      </c>
    </row>
    <row r="260" spans="1:7" x14ac:dyDescent="0.35">
      <c r="A260" s="10" t="s">
        <v>264</v>
      </c>
      <c r="B260" s="10">
        <v>-27600</v>
      </c>
      <c r="C260" s="10">
        <v>1115100</v>
      </c>
      <c r="D260" s="10">
        <v>2369200</v>
      </c>
      <c r="E260" s="2">
        <v>1491500</v>
      </c>
      <c r="F260">
        <v>1848600</v>
      </c>
      <c r="G260">
        <v>1848600</v>
      </c>
    </row>
    <row r="261" spans="1:7" x14ac:dyDescent="0.35">
      <c r="A261" s="10" t="s">
        <v>265</v>
      </c>
      <c r="B261" s="10">
        <v>1412300</v>
      </c>
      <c r="C261" s="10">
        <v>2128100</v>
      </c>
      <c r="D261" s="10">
        <v>2942500</v>
      </c>
      <c r="E261" s="2">
        <v>3152700</v>
      </c>
      <c r="F261">
        <v>3861100</v>
      </c>
      <c r="G261">
        <v>3861100</v>
      </c>
    </row>
    <row r="262" spans="1:7" x14ac:dyDescent="0.35">
      <c r="A262" s="10" t="s">
        <v>250</v>
      </c>
      <c r="B262" s="10">
        <v>429500</v>
      </c>
      <c r="C262" s="10">
        <v>1082600</v>
      </c>
      <c r="D262" s="10">
        <v>1030000</v>
      </c>
      <c r="E262" s="2">
        <v>935400</v>
      </c>
      <c r="F262">
        <v>1435400</v>
      </c>
      <c r="G262">
        <v>1435400</v>
      </c>
    </row>
    <row r="263" spans="1:7" x14ac:dyDescent="0.35">
      <c r="A263" s="10" t="s">
        <v>266</v>
      </c>
      <c r="B263" s="10">
        <v>-324100</v>
      </c>
      <c r="C263" s="10">
        <v>627100</v>
      </c>
      <c r="D263" s="10">
        <v>711600</v>
      </c>
      <c r="E263" s="2">
        <v>1278300</v>
      </c>
      <c r="F263">
        <v>1823000</v>
      </c>
      <c r="G263">
        <v>1823000</v>
      </c>
    </row>
    <row r="264" spans="1:7" x14ac:dyDescent="0.35">
      <c r="A264" s="10" t="s">
        <v>251</v>
      </c>
      <c r="B264" s="10">
        <v>5584400</v>
      </c>
      <c r="C264" s="10">
        <v>6088400</v>
      </c>
      <c r="D264" s="10">
        <v>6786100</v>
      </c>
      <c r="E264" s="2">
        <v>7500500</v>
      </c>
      <c r="F264">
        <v>8381900</v>
      </c>
      <c r="G264">
        <v>8381900</v>
      </c>
    </row>
    <row r="265" spans="1:7" x14ac:dyDescent="0.35">
      <c r="A265" s="10" t="s">
        <v>252</v>
      </c>
      <c r="B265" s="10">
        <v>-112800</v>
      </c>
      <c r="C265" s="10">
        <v>793400</v>
      </c>
      <c r="D265" s="10">
        <v>783300</v>
      </c>
      <c r="E265" s="2">
        <v>1307200</v>
      </c>
      <c r="F265">
        <v>1442100</v>
      </c>
      <c r="G265">
        <v>1442100</v>
      </c>
    </row>
    <row r="266" spans="1:7" x14ac:dyDescent="0.35">
      <c r="A266" s="10" t="s">
        <v>253</v>
      </c>
      <c r="B266" s="10">
        <v>1225400</v>
      </c>
      <c r="C266" s="10">
        <v>2121200</v>
      </c>
      <c r="D266" s="10">
        <v>3000000</v>
      </c>
      <c r="E266" s="2">
        <v>3200000</v>
      </c>
      <c r="F266">
        <v>4500400</v>
      </c>
      <c r="G266">
        <v>4500400</v>
      </c>
    </row>
    <row r="267" spans="1:7" x14ac:dyDescent="0.35">
      <c r="A267" s="10" t="s">
        <v>254</v>
      </c>
      <c r="B267" s="10">
        <v>-74900</v>
      </c>
      <c r="C267" s="10">
        <v>83300</v>
      </c>
      <c r="D267" s="10">
        <v>300000</v>
      </c>
      <c r="E267" s="2">
        <v>1151200</v>
      </c>
      <c r="F267">
        <v>1086700</v>
      </c>
      <c r="G267">
        <v>1086700</v>
      </c>
    </row>
    <row r="268" spans="1:7" x14ac:dyDescent="0.35">
      <c r="A268" s="10" t="s">
        <v>255</v>
      </c>
      <c r="B268" s="10">
        <v>300000</v>
      </c>
      <c r="C268" s="10">
        <v>0</v>
      </c>
      <c r="D268" s="10">
        <v>642700</v>
      </c>
      <c r="E268" s="2">
        <v>1484300</v>
      </c>
      <c r="F268">
        <v>2385600</v>
      </c>
      <c r="G268">
        <v>2385600</v>
      </c>
    </row>
    <row r="269" spans="1:7" x14ac:dyDescent="0.35">
      <c r="A269" s="10" t="s">
        <v>267</v>
      </c>
      <c r="B269" s="10">
        <v>10000</v>
      </c>
      <c r="C269" s="10">
        <v>0</v>
      </c>
      <c r="D269" s="10">
        <v>0</v>
      </c>
      <c r="E269" s="2">
        <v>-100</v>
      </c>
      <c r="F269">
        <v>703500</v>
      </c>
      <c r="G269">
        <v>703700</v>
      </c>
    </row>
    <row r="270" spans="1:7" x14ac:dyDescent="0.35">
      <c r="A270" s="10" t="s">
        <v>276</v>
      </c>
      <c r="B270" s="10">
        <v>100</v>
      </c>
      <c r="C270" s="10">
        <v>-4600</v>
      </c>
      <c r="D270" s="10">
        <v>-171700</v>
      </c>
      <c r="E270" s="2">
        <v>-221700</v>
      </c>
      <c r="F270">
        <v>-221700</v>
      </c>
      <c r="G270">
        <v>-221600</v>
      </c>
    </row>
    <row r="271" spans="1:7" x14ac:dyDescent="0.35">
      <c r="A271" s="10" t="s">
        <v>277</v>
      </c>
      <c r="B271" s="10">
        <v>0</v>
      </c>
      <c r="C271" s="10">
        <v>-100</v>
      </c>
      <c r="D271" s="10">
        <v>-50100</v>
      </c>
      <c r="E271" s="2">
        <v>-100100</v>
      </c>
      <c r="F271">
        <v>-150100</v>
      </c>
      <c r="G271">
        <v>-150100</v>
      </c>
    </row>
    <row r="272" spans="1:7" x14ac:dyDescent="0.35">
      <c r="A272" s="10" t="s">
        <v>278</v>
      </c>
      <c r="B272" s="10">
        <v>-3000000</v>
      </c>
      <c r="C272" s="10">
        <v>-3009700</v>
      </c>
      <c r="D272" s="10">
        <v>-3009700</v>
      </c>
      <c r="E272" s="2">
        <v>-3009700</v>
      </c>
      <c r="F272">
        <v>-2452500</v>
      </c>
      <c r="G272">
        <v>-3009800</v>
      </c>
    </row>
    <row r="273" spans="1:7" x14ac:dyDescent="0.35">
      <c r="A273" s="10" t="s">
        <v>279</v>
      </c>
      <c r="B273" s="10">
        <v>-4400000</v>
      </c>
      <c r="C273" s="10">
        <v>-4414200</v>
      </c>
      <c r="D273" s="10">
        <v>-4414200</v>
      </c>
      <c r="E273" s="2">
        <v>-4414200</v>
      </c>
      <c r="F273">
        <v>-4414200</v>
      </c>
      <c r="G273">
        <v>-4414200</v>
      </c>
    </row>
    <row r="274" spans="1:7" x14ac:dyDescent="0.35">
      <c r="A274" s="10" t="s">
        <v>280</v>
      </c>
      <c r="B274" s="10">
        <v>-3100000</v>
      </c>
      <c r="C274" s="10">
        <v>-3110000</v>
      </c>
      <c r="D274" s="10">
        <v>-3110000</v>
      </c>
      <c r="E274" s="2">
        <v>-3110000</v>
      </c>
      <c r="F274">
        <v>-3110000</v>
      </c>
      <c r="G274">
        <v>-3110000</v>
      </c>
    </row>
    <row r="275" spans="1:7" x14ac:dyDescent="0.35">
      <c r="A275" s="10" t="s">
        <v>281</v>
      </c>
      <c r="B275" s="10">
        <v>-3999900</v>
      </c>
      <c r="C275" s="10">
        <v>-4012800</v>
      </c>
      <c r="D275" s="10">
        <v>-4012800</v>
      </c>
      <c r="E275" s="2">
        <v>-3212800</v>
      </c>
      <c r="F275">
        <v>-3212800</v>
      </c>
      <c r="G275">
        <v>-3212800</v>
      </c>
    </row>
    <row r="276" spans="1:7" x14ac:dyDescent="0.35">
      <c r="A276" s="10" t="s">
        <v>282</v>
      </c>
      <c r="B276" s="10">
        <v>-100000</v>
      </c>
      <c r="C276" s="10">
        <v>-100300</v>
      </c>
      <c r="D276" s="10">
        <v>-100300</v>
      </c>
      <c r="E276" s="2">
        <v>-100300</v>
      </c>
      <c r="F276">
        <v>-100300</v>
      </c>
      <c r="G276">
        <v>-100300</v>
      </c>
    </row>
    <row r="277" spans="1:7" x14ac:dyDescent="0.35">
      <c r="A277" s="10" t="s">
        <v>283</v>
      </c>
      <c r="B277" s="10">
        <v>-147300</v>
      </c>
      <c r="C277" s="10">
        <v>-225000</v>
      </c>
      <c r="D277" s="10">
        <v>-225000</v>
      </c>
      <c r="E277" s="2">
        <v>-225000</v>
      </c>
      <c r="F277">
        <v>876000</v>
      </c>
      <c r="G277">
        <v>876100</v>
      </c>
    </row>
    <row r="278" spans="1:7" x14ac:dyDescent="0.35">
      <c r="A278" s="10" t="s">
        <v>284</v>
      </c>
      <c r="B278" s="10">
        <v>0</v>
      </c>
      <c r="C278" s="10">
        <v>-100</v>
      </c>
      <c r="D278" s="10">
        <v>-100</v>
      </c>
      <c r="E278" s="2">
        <v>-100</v>
      </c>
      <c r="F278">
        <v>-100</v>
      </c>
      <c r="G278">
        <v>0</v>
      </c>
    </row>
    <row r="279" spans="1:7" x14ac:dyDescent="0.35">
      <c r="A279" s="10" t="s">
        <v>285</v>
      </c>
      <c r="B279" s="10">
        <v>0</v>
      </c>
      <c r="C279" s="10">
        <v>0</v>
      </c>
      <c r="D279" s="10">
        <v>0</v>
      </c>
      <c r="E279" s="2">
        <v>0</v>
      </c>
      <c r="F279">
        <v>0</v>
      </c>
      <c r="G279">
        <v>0</v>
      </c>
    </row>
    <row r="280" spans="1:7" x14ac:dyDescent="0.35">
      <c r="A280" s="10" t="s">
        <v>268</v>
      </c>
      <c r="B280" s="10">
        <v>0</v>
      </c>
      <c r="C280" s="10">
        <v>-100</v>
      </c>
      <c r="D280" s="10">
        <v>-100</v>
      </c>
      <c r="E280" s="2">
        <v>-100</v>
      </c>
      <c r="F280">
        <v>-100</v>
      </c>
      <c r="G280">
        <v>0</v>
      </c>
    </row>
    <row r="281" spans="1:7" x14ac:dyDescent="0.35">
      <c r="A281" s="10" t="s">
        <v>286</v>
      </c>
      <c r="B281" s="10">
        <v>-1000000</v>
      </c>
      <c r="C281" s="10">
        <v>-590000</v>
      </c>
      <c r="D281" s="10">
        <v>-904000</v>
      </c>
      <c r="E281" s="2">
        <v>898400</v>
      </c>
      <c r="F281">
        <v>908400</v>
      </c>
      <c r="G281">
        <v>10100</v>
      </c>
    </row>
    <row r="282" spans="1:7" x14ac:dyDescent="0.35">
      <c r="A282" s="10" t="s">
        <v>287</v>
      </c>
      <c r="B282" s="10">
        <v>0</v>
      </c>
      <c r="C282" s="10">
        <v>-400000</v>
      </c>
      <c r="D282" s="10">
        <v>-600000</v>
      </c>
      <c r="E282" s="2">
        <v>892400</v>
      </c>
      <c r="F282">
        <v>786800</v>
      </c>
      <c r="G282">
        <v>786900</v>
      </c>
    </row>
    <row r="283" spans="1:7" x14ac:dyDescent="0.35">
      <c r="A283" s="10" t="s">
        <v>288</v>
      </c>
      <c r="B283" s="10">
        <v>-500000</v>
      </c>
      <c r="C283" s="10">
        <v>-600100</v>
      </c>
      <c r="D283" s="10">
        <v>-1191600</v>
      </c>
      <c r="E283" s="2">
        <v>-616000</v>
      </c>
      <c r="F283">
        <v>-616000</v>
      </c>
      <c r="G283">
        <v>-615900</v>
      </c>
    </row>
    <row r="284" spans="1:7" x14ac:dyDescent="0.35">
      <c r="A284" s="10" t="s">
        <v>289</v>
      </c>
      <c r="B284" s="10">
        <v>-1000000</v>
      </c>
      <c r="C284" s="10">
        <v>-696600</v>
      </c>
      <c r="D284" s="10">
        <v>-96800</v>
      </c>
      <c r="E284" s="2">
        <v>1849800</v>
      </c>
      <c r="F284">
        <v>2748200</v>
      </c>
      <c r="G284">
        <v>2748300</v>
      </c>
    </row>
    <row r="285" spans="1:7" x14ac:dyDescent="0.35">
      <c r="A285" s="10" t="s">
        <v>290</v>
      </c>
      <c r="B285" s="10">
        <v>0</v>
      </c>
      <c r="C285" s="10">
        <v>0</v>
      </c>
      <c r="D285" s="10">
        <v>481000</v>
      </c>
      <c r="E285" s="2">
        <v>1379500</v>
      </c>
      <c r="F285">
        <v>2277900</v>
      </c>
      <c r="G285">
        <v>2277900</v>
      </c>
    </row>
    <row r="286" spans="1:7" x14ac:dyDescent="0.35">
      <c r="A286" s="10" t="s">
        <v>291</v>
      </c>
      <c r="B286" s="10">
        <v>0</v>
      </c>
      <c r="C286" s="10">
        <v>348100</v>
      </c>
      <c r="D286" s="10">
        <v>1816500</v>
      </c>
      <c r="E286" s="2">
        <v>3954500</v>
      </c>
      <c r="F286">
        <v>4862900</v>
      </c>
      <c r="G286">
        <v>4862900</v>
      </c>
    </row>
    <row r="287" spans="1:7" x14ac:dyDescent="0.35">
      <c r="A287" s="10" t="s">
        <v>292</v>
      </c>
      <c r="B287" s="10">
        <v>0</v>
      </c>
      <c r="C287" s="10">
        <v>0</v>
      </c>
      <c r="D287" s="10">
        <v>-29200</v>
      </c>
      <c r="E287" s="2">
        <v>-29200</v>
      </c>
      <c r="F287">
        <v>-29200</v>
      </c>
      <c r="G287">
        <v>-29300</v>
      </c>
    </row>
    <row r="288" spans="1:7" x14ac:dyDescent="0.35">
      <c r="A288" s="10" t="s">
        <v>293</v>
      </c>
      <c r="B288" s="10">
        <v>0</v>
      </c>
      <c r="C288" s="10">
        <v>0</v>
      </c>
      <c r="D288" s="10">
        <v>0</v>
      </c>
      <c r="E288" s="2">
        <v>-673200</v>
      </c>
      <c r="F288">
        <v>0</v>
      </c>
      <c r="G288">
        <v>-100</v>
      </c>
    </row>
    <row r="289" spans="1:7" x14ac:dyDescent="0.35">
      <c r="A289" s="10" t="s">
        <v>294</v>
      </c>
      <c r="B289" s="10">
        <v>-500000</v>
      </c>
      <c r="C289" s="10">
        <v>-1200100</v>
      </c>
      <c r="D289" s="10">
        <v>392900</v>
      </c>
      <c r="E289" s="2">
        <v>-1610300</v>
      </c>
      <c r="F289">
        <v>1318300</v>
      </c>
      <c r="G289">
        <v>1318400</v>
      </c>
    </row>
    <row r="290" spans="1:7" x14ac:dyDescent="0.35">
      <c r="A290" s="10" t="s">
        <v>295</v>
      </c>
      <c r="B290" s="10">
        <v>0</v>
      </c>
      <c r="C290" s="10">
        <v>-800100</v>
      </c>
      <c r="D290" s="10">
        <v>-838200</v>
      </c>
      <c r="E290" s="2">
        <v>-939800</v>
      </c>
      <c r="F290">
        <v>-939800</v>
      </c>
      <c r="G290">
        <v>-939700</v>
      </c>
    </row>
    <row r="291" spans="1:7" x14ac:dyDescent="0.35">
      <c r="A291" s="10" t="s">
        <v>269</v>
      </c>
      <c r="B291" s="10">
        <v>-600100</v>
      </c>
      <c r="C291" s="10">
        <v>-1083600</v>
      </c>
      <c r="D291" s="10">
        <v>-83600</v>
      </c>
      <c r="E291" s="2">
        <v>-1083600</v>
      </c>
      <c r="F291">
        <v>-175200</v>
      </c>
      <c r="G291">
        <v>-175200</v>
      </c>
    </row>
    <row r="292" spans="1:7" x14ac:dyDescent="0.35">
      <c r="A292" s="10" t="s">
        <v>296</v>
      </c>
      <c r="B292" s="10">
        <v>0</v>
      </c>
      <c r="C292" s="10">
        <v>-1500000</v>
      </c>
      <c r="D292" s="10">
        <v>-2456100</v>
      </c>
      <c r="E292" s="2">
        <v>-2856200</v>
      </c>
      <c r="F292">
        <v>-3000000</v>
      </c>
      <c r="G292">
        <v>-2999900</v>
      </c>
    </row>
    <row r="293" spans="1:7" x14ac:dyDescent="0.35">
      <c r="A293" s="10" t="s">
        <v>270</v>
      </c>
      <c r="B293" s="10">
        <v>-1556300</v>
      </c>
      <c r="C293" s="10">
        <v>-1198700</v>
      </c>
      <c r="D293" s="10">
        <v>-1741500</v>
      </c>
      <c r="E293" s="2">
        <v>-1741500</v>
      </c>
      <c r="F293">
        <v>-854300</v>
      </c>
      <c r="G293">
        <v>-854300</v>
      </c>
    </row>
    <row r="294" spans="1:7" x14ac:dyDescent="0.35">
      <c r="A294" s="10" t="s">
        <v>271</v>
      </c>
      <c r="B294" s="10">
        <v>-394700</v>
      </c>
      <c r="C294" s="10">
        <v>-1796000</v>
      </c>
      <c r="D294" s="10">
        <v>0</v>
      </c>
      <c r="E294" s="2">
        <v>-100000</v>
      </c>
      <c r="F294">
        <v>-100000</v>
      </c>
      <c r="G294">
        <v>-100100</v>
      </c>
    </row>
    <row r="295" spans="1:7" x14ac:dyDescent="0.35">
      <c r="A295" s="10" t="s">
        <v>272</v>
      </c>
      <c r="B295" s="10">
        <v>-103100</v>
      </c>
      <c r="C295" s="10">
        <v>-805100</v>
      </c>
      <c r="D295" s="10">
        <v>-905100</v>
      </c>
      <c r="E295" s="2">
        <v>-2005200</v>
      </c>
      <c r="F295">
        <v>-2255200</v>
      </c>
      <c r="G295">
        <v>-2255200</v>
      </c>
    </row>
    <row r="296" spans="1:7" x14ac:dyDescent="0.35">
      <c r="A296" s="10" t="s">
        <v>273</v>
      </c>
      <c r="B296" s="10">
        <v>-317800</v>
      </c>
      <c r="C296" s="10">
        <v>-1045000</v>
      </c>
      <c r="D296" s="10">
        <v>-3045000</v>
      </c>
      <c r="E296" s="2">
        <v>-3545000</v>
      </c>
      <c r="F296">
        <v>-3745000</v>
      </c>
      <c r="G296">
        <v>-3745100</v>
      </c>
    </row>
    <row r="297" spans="1:7" x14ac:dyDescent="0.35">
      <c r="A297" s="10" t="s">
        <v>274</v>
      </c>
      <c r="B297" s="10">
        <v>0</v>
      </c>
      <c r="C297" s="10">
        <v>-88900</v>
      </c>
      <c r="D297" s="10">
        <v>-188900</v>
      </c>
      <c r="E297" s="2">
        <v>-188900</v>
      </c>
      <c r="F297">
        <v>-238900</v>
      </c>
      <c r="G297">
        <v>-238900</v>
      </c>
    </row>
    <row r="298" spans="1:7" x14ac:dyDescent="0.35">
      <c r="A298" s="10" t="s">
        <v>275</v>
      </c>
      <c r="B298" s="10">
        <v>-61200</v>
      </c>
      <c r="C298" s="10">
        <v>-370600</v>
      </c>
      <c r="D298" s="10">
        <v>-578200</v>
      </c>
      <c r="E298" s="2">
        <v>-728200</v>
      </c>
      <c r="F298">
        <v>-928200</v>
      </c>
      <c r="G298">
        <v>-928200</v>
      </c>
    </row>
    <row r="299" spans="1:7" x14ac:dyDescent="0.35">
      <c r="A299" s="10" t="s">
        <v>298</v>
      </c>
      <c r="C299" s="10">
        <v>-400000</v>
      </c>
      <c r="D299" s="10">
        <v>-800000</v>
      </c>
      <c r="E299" s="2">
        <v>-1200000</v>
      </c>
      <c r="F299">
        <v>-1600000</v>
      </c>
      <c r="G299">
        <v>-1600000</v>
      </c>
    </row>
    <row r="300" spans="1:7" x14ac:dyDescent="0.35">
      <c r="A300" s="10" t="s">
        <v>307</v>
      </c>
      <c r="C300" s="10">
        <v>0</v>
      </c>
      <c r="D300" s="10">
        <v>0</v>
      </c>
      <c r="E300" s="2">
        <v>0</v>
      </c>
      <c r="F300">
        <v>0</v>
      </c>
      <c r="G300">
        <v>0</v>
      </c>
    </row>
    <row r="301" spans="1:7" x14ac:dyDescent="0.35">
      <c r="A301" s="10" t="s">
        <v>299</v>
      </c>
      <c r="C301" s="10">
        <v>-200000</v>
      </c>
      <c r="D301" s="10">
        <v>-400000</v>
      </c>
      <c r="E301" s="2">
        <v>-700000</v>
      </c>
      <c r="F301">
        <v>-900000</v>
      </c>
      <c r="G301">
        <v>-900000</v>
      </c>
    </row>
    <row r="302" spans="1:7" x14ac:dyDescent="0.35">
      <c r="A302" s="10" t="s">
        <v>300</v>
      </c>
      <c r="C302" s="10">
        <v>0</v>
      </c>
      <c r="D302" s="10">
        <v>0</v>
      </c>
      <c r="E302" s="2">
        <v>0</v>
      </c>
      <c r="F302">
        <v>0</v>
      </c>
      <c r="G302">
        <v>0</v>
      </c>
    </row>
    <row r="303" spans="1:7" x14ac:dyDescent="0.35">
      <c r="A303" s="10" t="s">
        <v>301</v>
      </c>
      <c r="C303" s="10">
        <v>0</v>
      </c>
      <c r="D303" s="10">
        <v>0</v>
      </c>
      <c r="E303" s="2">
        <v>0</v>
      </c>
      <c r="F303">
        <v>0</v>
      </c>
      <c r="G303">
        <v>0</v>
      </c>
    </row>
    <row r="304" spans="1:7" x14ac:dyDescent="0.35">
      <c r="A304" s="10" t="s">
        <v>302</v>
      </c>
      <c r="C304" s="10">
        <v>0</v>
      </c>
      <c r="D304" s="10">
        <v>0</v>
      </c>
      <c r="E304" s="2">
        <v>-500000</v>
      </c>
      <c r="F304">
        <v>-500000</v>
      </c>
      <c r="G304">
        <v>-500000</v>
      </c>
    </row>
    <row r="305" spans="1:7" x14ac:dyDescent="0.35">
      <c r="A305" s="10" t="s">
        <v>303</v>
      </c>
      <c r="C305" s="10">
        <v>0</v>
      </c>
      <c r="D305" s="10">
        <v>0</v>
      </c>
      <c r="E305" s="2">
        <v>0</v>
      </c>
      <c r="F305">
        <v>0</v>
      </c>
      <c r="G305">
        <v>0</v>
      </c>
    </row>
    <row r="306" spans="1:7" x14ac:dyDescent="0.35">
      <c r="A306" s="10" t="s">
        <v>304</v>
      </c>
      <c r="C306" s="10">
        <v>0</v>
      </c>
      <c r="D306" s="10">
        <v>0</v>
      </c>
      <c r="E306" s="2">
        <v>0</v>
      </c>
      <c r="F306">
        <v>0</v>
      </c>
      <c r="G306">
        <v>0</v>
      </c>
    </row>
    <row r="307" spans="1:7" x14ac:dyDescent="0.35">
      <c r="A307" s="10" t="s">
        <v>305</v>
      </c>
      <c r="C307" s="10">
        <v>0</v>
      </c>
      <c r="D307" s="10">
        <v>0</v>
      </c>
      <c r="E307" s="2">
        <v>0</v>
      </c>
      <c r="F307">
        <v>0</v>
      </c>
      <c r="G307">
        <v>0</v>
      </c>
    </row>
    <row r="308" spans="1:7" x14ac:dyDescent="0.35">
      <c r="A308" s="10" t="s">
        <v>306</v>
      </c>
      <c r="C308" s="10">
        <v>0</v>
      </c>
      <c r="D308" s="10">
        <v>0</v>
      </c>
      <c r="E308" s="2">
        <v>0</v>
      </c>
      <c r="F308">
        <v>0</v>
      </c>
      <c r="G308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09A1-3B46-4B7C-8183-9B9F41EC9C4F}">
  <dimension ref="A1:B307"/>
  <sheetViews>
    <sheetView workbookViewId="0">
      <selection sqref="A1:B307"/>
    </sheetView>
  </sheetViews>
  <sheetFormatPr baseColWidth="10" defaultRowHeight="14.5" x14ac:dyDescent="0.35"/>
  <sheetData>
    <row r="1" spans="1:2" x14ac:dyDescent="0.35">
      <c r="A1" t="s">
        <v>0</v>
      </c>
      <c r="B1">
        <v>0</v>
      </c>
    </row>
    <row r="2" spans="1:2" x14ac:dyDescent="0.35">
      <c r="A2" t="s">
        <v>1</v>
      </c>
      <c r="B2">
        <v>-100</v>
      </c>
    </row>
    <row r="3" spans="1:2" x14ac:dyDescent="0.35">
      <c r="A3" t="s">
        <v>2</v>
      </c>
      <c r="B3">
        <v>100</v>
      </c>
    </row>
    <row r="4" spans="1:2" x14ac:dyDescent="0.35">
      <c r="A4" t="s">
        <v>3</v>
      </c>
      <c r="B4">
        <v>580300</v>
      </c>
    </row>
    <row r="5" spans="1:2" x14ac:dyDescent="0.35">
      <c r="A5" t="s">
        <v>4</v>
      </c>
      <c r="B5">
        <v>-5400000</v>
      </c>
    </row>
    <row r="6" spans="1:2" x14ac:dyDescent="0.35">
      <c r="A6" t="s">
        <v>10</v>
      </c>
      <c r="B6">
        <v>0</v>
      </c>
    </row>
    <row r="7" spans="1:2" x14ac:dyDescent="0.35">
      <c r="A7" t="s">
        <v>11</v>
      </c>
      <c r="B7">
        <v>0</v>
      </c>
    </row>
    <row r="8" spans="1:2" x14ac:dyDescent="0.35">
      <c r="A8" t="s">
        <v>5</v>
      </c>
      <c r="B8">
        <v>-712500</v>
      </c>
    </row>
    <row r="9" spans="1:2" x14ac:dyDescent="0.35">
      <c r="A9" t="s">
        <v>6</v>
      </c>
      <c r="B9">
        <v>620200</v>
      </c>
    </row>
    <row r="10" spans="1:2" x14ac:dyDescent="0.35">
      <c r="A10" t="s">
        <v>7</v>
      </c>
      <c r="B10">
        <v>0</v>
      </c>
    </row>
    <row r="11" spans="1:2" x14ac:dyDescent="0.35">
      <c r="A11" t="s">
        <v>8</v>
      </c>
      <c r="B11">
        <v>-213500</v>
      </c>
    </row>
    <row r="12" spans="1:2" x14ac:dyDescent="0.35">
      <c r="A12" t="s">
        <v>9</v>
      </c>
      <c r="B12">
        <v>-2606200</v>
      </c>
    </row>
    <row r="13" spans="1:2" x14ac:dyDescent="0.35">
      <c r="A13" t="s">
        <v>16</v>
      </c>
      <c r="B13">
        <v>0</v>
      </c>
    </row>
    <row r="14" spans="1:2" x14ac:dyDescent="0.35">
      <c r="A14" t="s">
        <v>17</v>
      </c>
      <c r="B14">
        <v>-973100</v>
      </c>
    </row>
    <row r="15" spans="1:2" x14ac:dyDescent="0.35">
      <c r="A15" t="s">
        <v>12</v>
      </c>
      <c r="B15">
        <v>-150900</v>
      </c>
    </row>
    <row r="16" spans="1:2" x14ac:dyDescent="0.35">
      <c r="A16" t="s">
        <v>13</v>
      </c>
      <c r="B16">
        <v>-2646500</v>
      </c>
    </row>
    <row r="17" spans="1:2" x14ac:dyDescent="0.35">
      <c r="A17" t="s">
        <v>14</v>
      </c>
      <c r="B17">
        <v>-3000000</v>
      </c>
    </row>
    <row r="18" spans="1:2" x14ac:dyDescent="0.35">
      <c r="A18" t="s">
        <v>15</v>
      </c>
      <c r="B18">
        <v>458900</v>
      </c>
    </row>
    <row r="19" spans="1:2" x14ac:dyDescent="0.35">
      <c r="A19" t="s">
        <v>24</v>
      </c>
      <c r="B19">
        <v>-3934500</v>
      </c>
    </row>
    <row r="20" spans="1:2" x14ac:dyDescent="0.35">
      <c r="A20" t="s">
        <v>25</v>
      </c>
      <c r="B20">
        <v>-3000200</v>
      </c>
    </row>
    <row r="21" spans="1:2" x14ac:dyDescent="0.35">
      <c r="A21" t="s">
        <v>26</v>
      </c>
      <c r="B21">
        <v>537100</v>
      </c>
    </row>
    <row r="22" spans="1:2" x14ac:dyDescent="0.35">
      <c r="A22" t="s">
        <v>27</v>
      </c>
      <c r="B22">
        <v>-2084800</v>
      </c>
    </row>
    <row r="23" spans="1:2" x14ac:dyDescent="0.35">
      <c r="A23" t="s">
        <v>28</v>
      </c>
      <c r="B23">
        <v>-100</v>
      </c>
    </row>
    <row r="24" spans="1:2" x14ac:dyDescent="0.35">
      <c r="A24" t="s">
        <v>29</v>
      </c>
      <c r="B24">
        <v>924200</v>
      </c>
    </row>
    <row r="25" spans="1:2" x14ac:dyDescent="0.35">
      <c r="A25" t="s">
        <v>30</v>
      </c>
      <c r="B25">
        <v>-6161300</v>
      </c>
    </row>
    <row r="26" spans="1:2" x14ac:dyDescent="0.35">
      <c r="A26" t="s">
        <v>31</v>
      </c>
      <c r="B26">
        <v>-197900</v>
      </c>
    </row>
    <row r="27" spans="1:2" x14ac:dyDescent="0.35">
      <c r="A27" t="s">
        <v>32</v>
      </c>
      <c r="B27">
        <v>4352700</v>
      </c>
    </row>
    <row r="28" spans="1:2" x14ac:dyDescent="0.35">
      <c r="A28" t="s">
        <v>18</v>
      </c>
      <c r="B28">
        <v>1119800</v>
      </c>
    </row>
    <row r="29" spans="1:2" x14ac:dyDescent="0.35">
      <c r="A29" t="s">
        <v>33</v>
      </c>
      <c r="B29">
        <v>-1172900</v>
      </c>
    </row>
    <row r="30" spans="1:2" x14ac:dyDescent="0.35">
      <c r="A30" t="s">
        <v>19</v>
      </c>
      <c r="B30">
        <v>3254500</v>
      </c>
    </row>
    <row r="31" spans="1:2" x14ac:dyDescent="0.35">
      <c r="A31" t="s">
        <v>20</v>
      </c>
      <c r="B31">
        <v>492200</v>
      </c>
    </row>
    <row r="32" spans="1:2" x14ac:dyDescent="0.35">
      <c r="A32" t="s">
        <v>21</v>
      </c>
      <c r="B32">
        <v>-4400600</v>
      </c>
    </row>
    <row r="33" spans="1:2" x14ac:dyDescent="0.35">
      <c r="A33" t="s">
        <v>22</v>
      </c>
      <c r="B33">
        <v>-189600</v>
      </c>
    </row>
    <row r="34" spans="1:2" x14ac:dyDescent="0.35">
      <c r="A34" t="s">
        <v>23</v>
      </c>
      <c r="B34">
        <v>2187300</v>
      </c>
    </row>
    <row r="35" spans="1:2" x14ac:dyDescent="0.35">
      <c r="A35" t="s">
        <v>34</v>
      </c>
      <c r="B35">
        <v>1456700</v>
      </c>
    </row>
    <row r="36" spans="1:2" x14ac:dyDescent="0.35">
      <c r="A36" t="s">
        <v>41</v>
      </c>
      <c r="B36">
        <v>-100</v>
      </c>
    </row>
    <row r="37" spans="1:2" x14ac:dyDescent="0.35">
      <c r="A37" t="s">
        <v>35</v>
      </c>
      <c r="B37">
        <v>-3545300</v>
      </c>
    </row>
    <row r="38" spans="1:2" x14ac:dyDescent="0.35">
      <c r="A38" t="s">
        <v>36</v>
      </c>
      <c r="B38">
        <v>-100</v>
      </c>
    </row>
    <row r="39" spans="1:2" x14ac:dyDescent="0.35">
      <c r="A39" t="s">
        <v>37</v>
      </c>
      <c r="B39">
        <v>1367600</v>
      </c>
    </row>
    <row r="40" spans="1:2" x14ac:dyDescent="0.35">
      <c r="A40" t="s">
        <v>38</v>
      </c>
      <c r="B40">
        <v>-2127900</v>
      </c>
    </row>
    <row r="41" spans="1:2" x14ac:dyDescent="0.35">
      <c r="A41" t="s">
        <v>39</v>
      </c>
      <c r="B41">
        <v>679900</v>
      </c>
    </row>
    <row r="42" spans="1:2" x14ac:dyDescent="0.35">
      <c r="A42" t="s">
        <v>40</v>
      </c>
      <c r="B42">
        <v>100</v>
      </c>
    </row>
    <row r="43" spans="1:2" x14ac:dyDescent="0.35">
      <c r="A43" t="s">
        <v>42</v>
      </c>
      <c r="B43">
        <v>100</v>
      </c>
    </row>
    <row r="44" spans="1:2" x14ac:dyDescent="0.35">
      <c r="A44" t="s">
        <v>51</v>
      </c>
      <c r="B44">
        <v>1401100</v>
      </c>
    </row>
    <row r="45" spans="1:2" x14ac:dyDescent="0.35">
      <c r="A45" t="s">
        <v>52</v>
      </c>
      <c r="B45">
        <v>-100</v>
      </c>
    </row>
    <row r="46" spans="1:2" x14ac:dyDescent="0.35">
      <c r="A46" t="s">
        <v>53</v>
      </c>
      <c r="B46">
        <v>1027600</v>
      </c>
    </row>
    <row r="47" spans="1:2" x14ac:dyDescent="0.35">
      <c r="A47" t="s">
        <v>54</v>
      </c>
      <c r="B47">
        <v>-97200</v>
      </c>
    </row>
    <row r="48" spans="1:2" x14ac:dyDescent="0.35">
      <c r="A48" t="s">
        <v>55</v>
      </c>
      <c r="B48">
        <v>3460700</v>
      </c>
    </row>
    <row r="49" spans="1:2" x14ac:dyDescent="0.35">
      <c r="A49" t="s">
        <v>56</v>
      </c>
      <c r="B49">
        <v>-4800</v>
      </c>
    </row>
    <row r="50" spans="1:2" x14ac:dyDescent="0.35">
      <c r="A50" t="s">
        <v>57</v>
      </c>
      <c r="B50">
        <v>799500</v>
      </c>
    </row>
    <row r="51" spans="1:2" x14ac:dyDescent="0.35">
      <c r="A51" t="s">
        <v>58</v>
      </c>
      <c r="B51">
        <v>100</v>
      </c>
    </row>
    <row r="52" spans="1:2" x14ac:dyDescent="0.35">
      <c r="A52" t="s">
        <v>59</v>
      </c>
      <c r="B52">
        <v>-78500</v>
      </c>
    </row>
    <row r="53" spans="1:2" x14ac:dyDescent="0.35">
      <c r="A53" t="s">
        <v>60</v>
      </c>
      <c r="B53">
        <v>-275700</v>
      </c>
    </row>
    <row r="54" spans="1:2" x14ac:dyDescent="0.35">
      <c r="A54" t="s">
        <v>43</v>
      </c>
      <c r="B54">
        <v>672400</v>
      </c>
    </row>
    <row r="55" spans="1:2" x14ac:dyDescent="0.35">
      <c r="A55" t="s">
        <v>61</v>
      </c>
      <c r="B55">
        <v>-340300</v>
      </c>
    </row>
    <row r="56" spans="1:2" x14ac:dyDescent="0.35">
      <c r="A56" t="s">
        <v>62</v>
      </c>
      <c r="B56">
        <v>2383900</v>
      </c>
    </row>
    <row r="57" spans="1:2" x14ac:dyDescent="0.35">
      <c r="A57" t="s">
        <v>63</v>
      </c>
      <c r="B57">
        <v>3360400</v>
      </c>
    </row>
    <row r="58" spans="1:2" x14ac:dyDescent="0.35">
      <c r="A58" t="s">
        <v>64</v>
      </c>
      <c r="B58">
        <v>-536300</v>
      </c>
    </row>
    <row r="59" spans="1:2" x14ac:dyDescent="0.35">
      <c r="A59" t="s">
        <v>65</v>
      </c>
      <c r="B59">
        <v>100</v>
      </c>
    </row>
    <row r="60" spans="1:2" x14ac:dyDescent="0.35">
      <c r="A60" t="s">
        <v>66</v>
      </c>
      <c r="B60">
        <v>-200</v>
      </c>
    </row>
    <row r="61" spans="1:2" x14ac:dyDescent="0.35">
      <c r="A61" t="s">
        <v>67</v>
      </c>
      <c r="B61">
        <v>434800</v>
      </c>
    </row>
    <row r="62" spans="1:2" x14ac:dyDescent="0.35">
      <c r="A62" t="s">
        <v>68</v>
      </c>
      <c r="B62">
        <v>1091500</v>
      </c>
    </row>
    <row r="63" spans="1:2" x14ac:dyDescent="0.35">
      <c r="A63" t="s">
        <v>69</v>
      </c>
      <c r="B63">
        <v>567200</v>
      </c>
    </row>
    <row r="64" spans="1:2" x14ac:dyDescent="0.35">
      <c r="A64" t="s">
        <v>44</v>
      </c>
      <c r="B64">
        <v>-100</v>
      </c>
    </row>
    <row r="65" spans="1:2" x14ac:dyDescent="0.35">
      <c r="A65" t="s">
        <v>45</v>
      </c>
      <c r="B65">
        <v>-100</v>
      </c>
    </row>
    <row r="66" spans="1:2" x14ac:dyDescent="0.35">
      <c r="A66" t="s">
        <v>46</v>
      </c>
      <c r="B66">
        <v>-200</v>
      </c>
    </row>
    <row r="67" spans="1:2" x14ac:dyDescent="0.35">
      <c r="A67" t="s">
        <v>47</v>
      </c>
      <c r="B67">
        <v>4867700</v>
      </c>
    </row>
    <row r="68" spans="1:2" x14ac:dyDescent="0.35">
      <c r="A68" t="s">
        <v>48</v>
      </c>
      <c r="B68">
        <v>3840400</v>
      </c>
    </row>
    <row r="69" spans="1:2" x14ac:dyDescent="0.35">
      <c r="A69" t="s">
        <v>49</v>
      </c>
      <c r="B69">
        <v>2867400</v>
      </c>
    </row>
    <row r="70" spans="1:2" x14ac:dyDescent="0.35">
      <c r="A70" t="s">
        <v>50</v>
      </c>
      <c r="B70">
        <v>964400</v>
      </c>
    </row>
    <row r="71" spans="1:2" x14ac:dyDescent="0.35">
      <c r="A71" t="s">
        <v>70</v>
      </c>
      <c r="B71">
        <v>100</v>
      </c>
    </row>
    <row r="72" spans="1:2" x14ac:dyDescent="0.35">
      <c r="A72" t="s">
        <v>79</v>
      </c>
      <c r="B72">
        <v>-6249500</v>
      </c>
    </row>
    <row r="73" spans="1:2" x14ac:dyDescent="0.35">
      <c r="A73" t="s">
        <v>80</v>
      </c>
      <c r="B73">
        <v>6896200</v>
      </c>
    </row>
    <row r="74" spans="1:2" x14ac:dyDescent="0.35">
      <c r="A74" t="s">
        <v>81</v>
      </c>
      <c r="B74">
        <v>1191400</v>
      </c>
    </row>
    <row r="75" spans="1:2" x14ac:dyDescent="0.35">
      <c r="A75" t="s">
        <v>82</v>
      </c>
      <c r="B75">
        <v>218500</v>
      </c>
    </row>
    <row r="76" spans="1:2" x14ac:dyDescent="0.35">
      <c r="A76" t="s">
        <v>83</v>
      </c>
      <c r="B76">
        <v>-3740000</v>
      </c>
    </row>
    <row r="77" spans="1:2" x14ac:dyDescent="0.35">
      <c r="A77" t="s">
        <v>84</v>
      </c>
      <c r="B77">
        <v>-100</v>
      </c>
    </row>
    <row r="78" spans="1:2" x14ac:dyDescent="0.35">
      <c r="A78" t="s">
        <v>85</v>
      </c>
      <c r="B78">
        <v>2032500</v>
      </c>
    </row>
    <row r="79" spans="1:2" x14ac:dyDescent="0.35">
      <c r="A79" t="s">
        <v>86</v>
      </c>
      <c r="B79">
        <v>-1028800</v>
      </c>
    </row>
    <row r="80" spans="1:2" x14ac:dyDescent="0.35">
      <c r="A80" t="s">
        <v>87</v>
      </c>
      <c r="B80">
        <v>-100</v>
      </c>
    </row>
    <row r="81" spans="1:2" x14ac:dyDescent="0.35">
      <c r="A81" t="s">
        <v>88</v>
      </c>
      <c r="B81">
        <v>2891000</v>
      </c>
    </row>
    <row r="82" spans="1:2" x14ac:dyDescent="0.35">
      <c r="A82" t="s">
        <v>71</v>
      </c>
      <c r="B82">
        <v>3590300</v>
      </c>
    </row>
    <row r="83" spans="1:2" x14ac:dyDescent="0.35">
      <c r="A83" t="s">
        <v>89</v>
      </c>
      <c r="B83">
        <v>-100</v>
      </c>
    </row>
    <row r="84" spans="1:2" x14ac:dyDescent="0.35">
      <c r="A84" t="s">
        <v>90</v>
      </c>
      <c r="B84">
        <v>0</v>
      </c>
    </row>
    <row r="85" spans="1:2" x14ac:dyDescent="0.35">
      <c r="A85" t="s">
        <v>91</v>
      </c>
      <c r="B85">
        <v>2326100</v>
      </c>
    </row>
    <row r="86" spans="1:2" x14ac:dyDescent="0.35">
      <c r="A86" t="s">
        <v>92</v>
      </c>
      <c r="B86">
        <v>-100</v>
      </c>
    </row>
    <row r="87" spans="1:2" x14ac:dyDescent="0.35">
      <c r="A87" t="s">
        <v>93</v>
      </c>
      <c r="B87">
        <v>2612500</v>
      </c>
    </row>
    <row r="88" spans="1:2" x14ac:dyDescent="0.35">
      <c r="A88" t="s">
        <v>94</v>
      </c>
      <c r="B88">
        <v>-3076200</v>
      </c>
    </row>
    <row r="89" spans="1:2" x14ac:dyDescent="0.35">
      <c r="A89" t="s">
        <v>95</v>
      </c>
      <c r="B89">
        <v>-283400</v>
      </c>
    </row>
    <row r="90" spans="1:2" x14ac:dyDescent="0.35">
      <c r="A90" t="s">
        <v>96</v>
      </c>
      <c r="B90">
        <v>-187000</v>
      </c>
    </row>
    <row r="91" spans="1:2" x14ac:dyDescent="0.35">
      <c r="A91" t="s">
        <v>97</v>
      </c>
      <c r="B91">
        <v>-7357300</v>
      </c>
    </row>
    <row r="92" spans="1:2" x14ac:dyDescent="0.35">
      <c r="A92" t="s">
        <v>98</v>
      </c>
      <c r="B92">
        <v>-153200</v>
      </c>
    </row>
    <row r="93" spans="1:2" x14ac:dyDescent="0.35">
      <c r="A93" t="s">
        <v>72</v>
      </c>
      <c r="B93">
        <v>-400100</v>
      </c>
    </row>
    <row r="94" spans="1:2" x14ac:dyDescent="0.35">
      <c r="A94" t="s">
        <v>99</v>
      </c>
      <c r="B94">
        <v>-400</v>
      </c>
    </row>
    <row r="95" spans="1:2" x14ac:dyDescent="0.35">
      <c r="A95" t="s">
        <v>100</v>
      </c>
      <c r="B95">
        <v>1643700</v>
      </c>
    </row>
    <row r="96" spans="1:2" x14ac:dyDescent="0.35">
      <c r="A96" t="s">
        <v>101</v>
      </c>
      <c r="B96">
        <v>-2955800</v>
      </c>
    </row>
    <row r="97" spans="1:2" x14ac:dyDescent="0.35">
      <c r="A97" t="s">
        <v>102</v>
      </c>
      <c r="B97">
        <v>3548400</v>
      </c>
    </row>
    <row r="98" spans="1:2" x14ac:dyDescent="0.35">
      <c r="A98" t="s">
        <v>103</v>
      </c>
      <c r="B98">
        <v>3280500</v>
      </c>
    </row>
    <row r="99" spans="1:2" x14ac:dyDescent="0.35">
      <c r="A99" t="s">
        <v>73</v>
      </c>
      <c r="B99">
        <v>-425800</v>
      </c>
    </row>
    <row r="100" spans="1:2" x14ac:dyDescent="0.35">
      <c r="A100" t="s">
        <v>74</v>
      </c>
      <c r="B100">
        <v>4749600</v>
      </c>
    </row>
    <row r="101" spans="1:2" x14ac:dyDescent="0.35">
      <c r="A101" t="s">
        <v>75</v>
      </c>
      <c r="B101">
        <v>-100</v>
      </c>
    </row>
    <row r="102" spans="1:2" x14ac:dyDescent="0.35">
      <c r="A102" t="s">
        <v>76</v>
      </c>
      <c r="B102">
        <v>-333800</v>
      </c>
    </row>
    <row r="103" spans="1:2" x14ac:dyDescent="0.35">
      <c r="A103" t="s">
        <v>77</v>
      </c>
      <c r="B103">
        <v>500100</v>
      </c>
    </row>
    <row r="104" spans="1:2" x14ac:dyDescent="0.35">
      <c r="A104" t="s">
        <v>78</v>
      </c>
      <c r="B104">
        <v>100</v>
      </c>
    </row>
    <row r="105" spans="1:2" x14ac:dyDescent="0.35">
      <c r="A105" t="s">
        <v>104</v>
      </c>
      <c r="B105">
        <v>-1505400</v>
      </c>
    </row>
    <row r="106" spans="1:2" x14ac:dyDescent="0.35">
      <c r="A106" t="s">
        <v>113</v>
      </c>
      <c r="B106">
        <v>2768700</v>
      </c>
    </row>
    <row r="107" spans="1:2" x14ac:dyDescent="0.35">
      <c r="A107" t="s">
        <v>114</v>
      </c>
      <c r="B107">
        <v>100</v>
      </c>
    </row>
    <row r="108" spans="1:2" x14ac:dyDescent="0.35">
      <c r="A108" t="s">
        <v>115</v>
      </c>
      <c r="B108">
        <v>100</v>
      </c>
    </row>
    <row r="109" spans="1:2" x14ac:dyDescent="0.35">
      <c r="A109" t="s">
        <v>116</v>
      </c>
      <c r="B109">
        <v>-100</v>
      </c>
    </row>
    <row r="110" spans="1:2" x14ac:dyDescent="0.35">
      <c r="A110" t="s">
        <v>117</v>
      </c>
      <c r="B110">
        <v>-4032100</v>
      </c>
    </row>
    <row r="111" spans="1:2" x14ac:dyDescent="0.35">
      <c r="A111" t="s">
        <v>118</v>
      </c>
      <c r="B111">
        <v>0</v>
      </c>
    </row>
    <row r="112" spans="1:2" x14ac:dyDescent="0.35">
      <c r="A112" t="s">
        <v>119</v>
      </c>
      <c r="B112">
        <v>-989200</v>
      </c>
    </row>
    <row r="113" spans="1:2" x14ac:dyDescent="0.35">
      <c r="A113" t="s">
        <v>120</v>
      </c>
      <c r="B113">
        <v>1441800</v>
      </c>
    </row>
    <row r="114" spans="1:2" x14ac:dyDescent="0.35">
      <c r="A114" t="s">
        <v>121</v>
      </c>
      <c r="B114">
        <v>-1662900</v>
      </c>
    </row>
    <row r="115" spans="1:2" x14ac:dyDescent="0.35">
      <c r="A115" t="s">
        <v>122</v>
      </c>
      <c r="B115">
        <v>-183300</v>
      </c>
    </row>
    <row r="116" spans="1:2" x14ac:dyDescent="0.35">
      <c r="A116" t="s">
        <v>105</v>
      </c>
      <c r="B116">
        <v>100</v>
      </c>
    </row>
    <row r="117" spans="1:2" x14ac:dyDescent="0.35">
      <c r="A117" t="s">
        <v>123</v>
      </c>
      <c r="B117">
        <v>429600</v>
      </c>
    </row>
    <row r="118" spans="1:2" x14ac:dyDescent="0.35">
      <c r="A118" t="s">
        <v>124</v>
      </c>
      <c r="B118">
        <v>1883900</v>
      </c>
    </row>
    <row r="119" spans="1:2" x14ac:dyDescent="0.35">
      <c r="A119" t="s">
        <v>125</v>
      </c>
      <c r="B119">
        <v>-1805500</v>
      </c>
    </row>
    <row r="120" spans="1:2" x14ac:dyDescent="0.35">
      <c r="A120" t="s">
        <v>126</v>
      </c>
      <c r="B120">
        <v>-202500</v>
      </c>
    </row>
    <row r="121" spans="1:2" x14ac:dyDescent="0.35">
      <c r="A121" t="s">
        <v>127</v>
      </c>
      <c r="B121">
        <v>470100</v>
      </c>
    </row>
    <row r="122" spans="1:2" x14ac:dyDescent="0.35">
      <c r="A122" t="s">
        <v>128</v>
      </c>
      <c r="B122">
        <v>1323900</v>
      </c>
    </row>
    <row r="123" spans="1:2" x14ac:dyDescent="0.35">
      <c r="A123" t="s">
        <v>129</v>
      </c>
      <c r="B123">
        <v>0</v>
      </c>
    </row>
    <row r="124" spans="1:2" x14ac:dyDescent="0.35">
      <c r="A124" t="s">
        <v>130</v>
      </c>
      <c r="B124">
        <v>0</v>
      </c>
    </row>
    <row r="125" spans="1:2" x14ac:dyDescent="0.35">
      <c r="A125" t="s">
        <v>131</v>
      </c>
      <c r="B125">
        <v>2022600</v>
      </c>
    </row>
    <row r="126" spans="1:2" x14ac:dyDescent="0.35">
      <c r="A126" t="s">
        <v>132</v>
      </c>
      <c r="B126">
        <v>-300</v>
      </c>
    </row>
    <row r="127" spans="1:2" x14ac:dyDescent="0.35">
      <c r="A127" t="s">
        <v>106</v>
      </c>
      <c r="B127">
        <v>-2076700</v>
      </c>
    </row>
    <row r="128" spans="1:2" x14ac:dyDescent="0.35">
      <c r="A128" t="s">
        <v>133</v>
      </c>
      <c r="B128">
        <v>-620500</v>
      </c>
    </row>
    <row r="129" spans="1:2" x14ac:dyDescent="0.35">
      <c r="A129" t="s">
        <v>107</v>
      </c>
      <c r="B129">
        <v>-1007500</v>
      </c>
    </row>
    <row r="130" spans="1:2" x14ac:dyDescent="0.35">
      <c r="A130" t="s">
        <v>108</v>
      </c>
      <c r="B130">
        <v>-303300</v>
      </c>
    </row>
    <row r="131" spans="1:2" x14ac:dyDescent="0.35">
      <c r="A131" t="s">
        <v>109</v>
      </c>
      <c r="B131">
        <v>3117100</v>
      </c>
    </row>
    <row r="132" spans="1:2" x14ac:dyDescent="0.35">
      <c r="A132" t="s">
        <v>110</v>
      </c>
      <c r="B132">
        <v>1830900</v>
      </c>
    </row>
    <row r="133" spans="1:2" x14ac:dyDescent="0.35">
      <c r="A133" t="s">
        <v>111</v>
      </c>
      <c r="B133">
        <v>2659100</v>
      </c>
    </row>
    <row r="134" spans="1:2" x14ac:dyDescent="0.35">
      <c r="A134" t="s">
        <v>112</v>
      </c>
      <c r="B134">
        <v>3467800</v>
      </c>
    </row>
    <row r="135" spans="1:2" x14ac:dyDescent="0.35">
      <c r="A135" t="s">
        <v>134</v>
      </c>
      <c r="B135">
        <v>-100</v>
      </c>
    </row>
    <row r="136" spans="1:2" x14ac:dyDescent="0.35">
      <c r="A136" t="s">
        <v>143</v>
      </c>
      <c r="B136">
        <v>-737800</v>
      </c>
    </row>
    <row r="137" spans="1:2" x14ac:dyDescent="0.35">
      <c r="A137" t="s">
        <v>144</v>
      </c>
      <c r="B137">
        <v>851100</v>
      </c>
    </row>
    <row r="138" spans="1:2" x14ac:dyDescent="0.35">
      <c r="A138" t="s">
        <v>145</v>
      </c>
      <c r="B138">
        <v>-100</v>
      </c>
    </row>
    <row r="139" spans="1:2" x14ac:dyDescent="0.35">
      <c r="A139" t="s">
        <v>146</v>
      </c>
      <c r="B139">
        <v>3910000</v>
      </c>
    </row>
    <row r="140" spans="1:2" x14ac:dyDescent="0.35">
      <c r="A140" t="s">
        <v>135</v>
      </c>
      <c r="B140">
        <v>-6186900</v>
      </c>
    </row>
    <row r="141" spans="1:2" x14ac:dyDescent="0.35">
      <c r="A141" t="s">
        <v>136</v>
      </c>
      <c r="B141">
        <v>-509400</v>
      </c>
    </row>
    <row r="142" spans="1:2" x14ac:dyDescent="0.35">
      <c r="A142" t="s">
        <v>137</v>
      </c>
      <c r="B142">
        <v>100</v>
      </c>
    </row>
    <row r="143" spans="1:2" x14ac:dyDescent="0.35">
      <c r="A143" t="s">
        <v>138</v>
      </c>
      <c r="B143">
        <v>2371400</v>
      </c>
    </row>
    <row r="144" spans="1:2" x14ac:dyDescent="0.35">
      <c r="A144" t="s">
        <v>139</v>
      </c>
      <c r="B144">
        <v>100</v>
      </c>
    </row>
    <row r="145" spans="1:2" x14ac:dyDescent="0.35">
      <c r="A145" t="s">
        <v>140</v>
      </c>
      <c r="B145">
        <v>-100</v>
      </c>
    </row>
    <row r="146" spans="1:2" x14ac:dyDescent="0.35">
      <c r="A146" t="s">
        <v>141</v>
      </c>
      <c r="B146">
        <v>-100</v>
      </c>
    </row>
    <row r="147" spans="1:2" x14ac:dyDescent="0.35">
      <c r="A147" t="s">
        <v>142</v>
      </c>
      <c r="B147">
        <v>709800</v>
      </c>
    </row>
    <row r="148" spans="1:2" x14ac:dyDescent="0.35">
      <c r="A148" t="s">
        <v>147</v>
      </c>
      <c r="B148">
        <v>-40000</v>
      </c>
    </row>
    <row r="149" spans="1:2" x14ac:dyDescent="0.35">
      <c r="A149" t="s">
        <v>156</v>
      </c>
      <c r="B149">
        <v>-2510100</v>
      </c>
    </row>
    <row r="150" spans="1:2" x14ac:dyDescent="0.35">
      <c r="A150" t="s">
        <v>157</v>
      </c>
      <c r="B150">
        <v>-4549500</v>
      </c>
    </row>
    <row r="151" spans="1:2" x14ac:dyDescent="0.35">
      <c r="A151" t="s">
        <v>158</v>
      </c>
      <c r="B151">
        <v>-200</v>
      </c>
    </row>
    <row r="152" spans="1:2" x14ac:dyDescent="0.35">
      <c r="A152" t="s">
        <v>159</v>
      </c>
      <c r="B152">
        <v>-1006800</v>
      </c>
    </row>
    <row r="153" spans="1:2" x14ac:dyDescent="0.35">
      <c r="A153" t="s">
        <v>160</v>
      </c>
      <c r="B153">
        <v>-8684100</v>
      </c>
    </row>
    <row r="154" spans="1:2" x14ac:dyDescent="0.35">
      <c r="A154" t="s">
        <v>161</v>
      </c>
      <c r="B154">
        <v>-1756200</v>
      </c>
    </row>
    <row r="155" spans="1:2" x14ac:dyDescent="0.35">
      <c r="A155" t="s">
        <v>162</v>
      </c>
      <c r="B155">
        <v>100</v>
      </c>
    </row>
    <row r="156" spans="1:2" x14ac:dyDescent="0.35">
      <c r="A156" t="s">
        <v>163</v>
      </c>
      <c r="B156">
        <v>-100</v>
      </c>
    </row>
    <row r="157" spans="1:2" x14ac:dyDescent="0.35">
      <c r="A157" t="s">
        <v>164</v>
      </c>
      <c r="B157">
        <v>0</v>
      </c>
    </row>
    <row r="158" spans="1:2" x14ac:dyDescent="0.35">
      <c r="A158" t="s">
        <v>165</v>
      </c>
      <c r="B158">
        <v>3060800</v>
      </c>
    </row>
    <row r="159" spans="1:2" x14ac:dyDescent="0.35">
      <c r="A159" t="s">
        <v>148</v>
      </c>
      <c r="B159">
        <v>-100</v>
      </c>
    </row>
    <row r="160" spans="1:2" x14ac:dyDescent="0.35">
      <c r="A160" t="s">
        <v>166</v>
      </c>
      <c r="B160">
        <v>-585900</v>
      </c>
    </row>
    <row r="161" spans="1:2" x14ac:dyDescent="0.35">
      <c r="A161" t="s">
        <v>167</v>
      </c>
      <c r="B161">
        <v>-57500</v>
      </c>
    </row>
    <row r="162" spans="1:2" x14ac:dyDescent="0.35">
      <c r="A162" t="s">
        <v>168</v>
      </c>
      <c r="B162">
        <v>-2960800</v>
      </c>
    </row>
    <row r="163" spans="1:2" x14ac:dyDescent="0.35">
      <c r="A163" t="s">
        <v>169</v>
      </c>
      <c r="B163">
        <v>-1271000</v>
      </c>
    </row>
    <row r="164" spans="1:2" x14ac:dyDescent="0.35">
      <c r="A164" t="s">
        <v>170</v>
      </c>
      <c r="B164">
        <v>-100</v>
      </c>
    </row>
    <row r="165" spans="1:2" x14ac:dyDescent="0.35">
      <c r="A165" t="s">
        <v>171</v>
      </c>
      <c r="B165">
        <v>-100</v>
      </c>
    </row>
    <row r="166" spans="1:2" x14ac:dyDescent="0.35">
      <c r="A166" t="s">
        <v>172</v>
      </c>
      <c r="B166">
        <v>730100</v>
      </c>
    </row>
    <row r="167" spans="1:2" x14ac:dyDescent="0.35">
      <c r="A167" t="s">
        <v>173</v>
      </c>
      <c r="B167">
        <v>-780100</v>
      </c>
    </row>
    <row r="168" spans="1:2" x14ac:dyDescent="0.35">
      <c r="A168" t="s">
        <v>174</v>
      </c>
      <c r="B168">
        <v>100</v>
      </c>
    </row>
    <row r="169" spans="1:2" x14ac:dyDescent="0.35">
      <c r="A169" t="s">
        <v>175</v>
      </c>
      <c r="B169">
        <v>2685200</v>
      </c>
    </row>
    <row r="170" spans="1:2" x14ac:dyDescent="0.35">
      <c r="A170" t="s">
        <v>149</v>
      </c>
      <c r="B170">
        <v>-334700</v>
      </c>
    </row>
    <row r="171" spans="1:2" x14ac:dyDescent="0.35">
      <c r="A171" t="s">
        <v>176</v>
      </c>
      <c r="B171">
        <v>1235900</v>
      </c>
    </row>
    <row r="172" spans="1:2" x14ac:dyDescent="0.35">
      <c r="A172" t="s">
        <v>150</v>
      </c>
      <c r="B172">
        <v>424300</v>
      </c>
    </row>
    <row r="173" spans="1:2" x14ac:dyDescent="0.35">
      <c r="A173" t="s">
        <v>151</v>
      </c>
      <c r="B173">
        <v>-1032000</v>
      </c>
    </row>
    <row r="174" spans="1:2" x14ac:dyDescent="0.35">
      <c r="A174" t="s">
        <v>152</v>
      </c>
      <c r="B174">
        <v>-6000100</v>
      </c>
    </row>
    <row r="175" spans="1:2" x14ac:dyDescent="0.35">
      <c r="A175" t="s">
        <v>153</v>
      </c>
      <c r="B175">
        <v>-100</v>
      </c>
    </row>
    <row r="176" spans="1:2" x14ac:dyDescent="0.35">
      <c r="A176" t="s">
        <v>154</v>
      </c>
      <c r="B176">
        <v>2551800</v>
      </c>
    </row>
    <row r="177" spans="1:2" x14ac:dyDescent="0.35">
      <c r="A177" t="s">
        <v>155</v>
      </c>
      <c r="B177">
        <v>4575000</v>
      </c>
    </row>
    <row r="178" spans="1:2" x14ac:dyDescent="0.35">
      <c r="A178" t="s">
        <v>177</v>
      </c>
      <c r="B178">
        <v>-3370400</v>
      </c>
    </row>
    <row r="179" spans="1:2" x14ac:dyDescent="0.35">
      <c r="A179" t="s">
        <v>186</v>
      </c>
      <c r="B179">
        <v>-3191800</v>
      </c>
    </row>
    <row r="180" spans="1:2" x14ac:dyDescent="0.35">
      <c r="A180" t="s">
        <v>187</v>
      </c>
      <c r="B180">
        <v>-4236600</v>
      </c>
    </row>
    <row r="181" spans="1:2" x14ac:dyDescent="0.35">
      <c r="A181" t="s">
        <v>188</v>
      </c>
      <c r="B181">
        <v>-1385900</v>
      </c>
    </row>
    <row r="182" spans="1:2" x14ac:dyDescent="0.35">
      <c r="A182" t="s">
        <v>189</v>
      </c>
      <c r="B182">
        <v>4464300</v>
      </c>
    </row>
    <row r="183" spans="1:2" x14ac:dyDescent="0.35">
      <c r="A183" t="s">
        <v>190</v>
      </c>
      <c r="B183">
        <v>-3568500</v>
      </c>
    </row>
    <row r="184" spans="1:2" x14ac:dyDescent="0.35">
      <c r="A184" t="s">
        <v>191</v>
      </c>
      <c r="B184">
        <v>1131100</v>
      </c>
    </row>
    <row r="185" spans="1:2" x14ac:dyDescent="0.35">
      <c r="A185" t="s">
        <v>192</v>
      </c>
      <c r="B185">
        <v>1275000</v>
      </c>
    </row>
    <row r="186" spans="1:2" x14ac:dyDescent="0.35">
      <c r="A186" t="s">
        <v>193</v>
      </c>
      <c r="B186">
        <v>100</v>
      </c>
    </row>
    <row r="187" spans="1:2" x14ac:dyDescent="0.35">
      <c r="A187" t="s">
        <v>194</v>
      </c>
      <c r="B187">
        <v>-126800</v>
      </c>
    </row>
    <row r="188" spans="1:2" x14ac:dyDescent="0.35">
      <c r="A188" t="s">
        <v>195</v>
      </c>
      <c r="B188">
        <v>2643100</v>
      </c>
    </row>
    <row r="189" spans="1:2" x14ac:dyDescent="0.35">
      <c r="A189" t="s">
        <v>178</v>
      </c>
      <c r="B189">
        <v>-734900</v>
      </c>
    </row>
    <row r="190" spans="1:2" x14ac:dyDescent="0.35">
      <c r="A190" t="s">
        <v>196</v>
      </c>
      <c r="B190">
        <v>-3312200</v>
      </c>
    </row>
    <row r="191" spans="1:2" x14ac:dyDescent="0.35">
      <c r="A191" t="s">
        <v>197</v>
      </c>
      <c r="B191">
        <v>764400</v>
      </c>
    </row>
    <row r="192" spans="1:2" x14ac:dyDescent="0.35">
      <c r="A192" t="s">
        <v>198</v>
      </c>
      <c r="B192">
        <v>-2385800</v>
      </c>
    </row>
    <row r="193" spans="1:2" x14ac:dyDescent="0.35">
      <c r="A193" t="s">
        <v>199</v>
      </c>
      <c r="B193">
        <v>76400</v>
      </c>
    </row>
    <row r="194" spans="1:2" x14ac:dyDescent="0.35">
      <c r="A194" t="s">
        <v>200</v>
      </c>
      <c r="B194">
        <v>-458700</v>
      </c>
    </row>
    <row r="195" spans="1:2" x14ac:dyDescent="0.35">
      <c r="A195" t="s">
        <v>201</v>
      </c>
      <c r="B195">
        <v>1188900</v>
      </c>
    </row>
    <row r="196" spans="1:2" x14ac:dyDescent="0.35">
      <c r="A196" t="s">
        <v>202</v>
      </c>
      <c r="B196">
        <v>-3542900</v>
      </c>
    </row>
    <row r="197" spans="1:2" x14ac:dyDescent="0.35">
      <c r="A197" t="s">
        <v>203</v>
      </c>
      <c r="B197">
        <v>-100</v>
      </c>
    </row>
    <row r="198" spans="1:2" x14ac:dyDescent="0.35">
      <c r="A198" t="s">
        <v>204</v>
      </c>
      <c r="B198">
        <v>-114400</v>
      </c>
    </row>
    <row r="199" spans="1:2" x14ac:dyDescent="0.35">
      <c r="A199" t="s">
        <v>205</v>
      </c>
      <c r="B199">
        <v>-1577900</v>
      </c>
    </row>
    <row r="200" spans="1:2" x14ac:dyDescent="0.35">
      <c r="A200" t="s">
        <v>179</v>
      </c>
      <c r="B200">
        <v>408200</v>
      </c>
    </row>
    <row r="201" spans="1:2" x14ac:dyDescent="0.35">
      <c r="A201" t="s">
        <v>206</v>
      </c>
      <c r="B201">
        <v>-28800</v>
      </c>
    </row>
    <row r="202" spans="1:2" x14ac:dyDescent="0.35">
      <c r="A202" t="s">
        <v>207</v>
      </c>
      <c r="B202">
        <v>-747700</v>
      </c>
    </row>
    <row r="203" spans="1:2" x14ac:dyDescent="0.35">
      <c r="A203" t="s">
        <v>208</v>
      </c>
      <c r="B203">
        <v>-1037600</v>
      </c>
    </row>
    <row r="204" spans="1:2" x14ac:dyDescent="0.35">
      <c r="A204" t="s">
        <v>209</v>
      </c>
      <c r="B204">
        <v>1198600</v>
      </c>
    </row>
    <row r="205" spans="1:2" x14ac:dyDescent="0.35">
      <c r="A205" t="s">
        <v>210</v>
      </c>
      <c r="B205">
        <v>-221900</v>
      </c>
    </row>
    <row r="206" spans="1:2" x14ac:dyDescent="0.35">
      <c r="A206" t="s">
        <v>211</v>
      </c>
      <c r="B206">
        <v>-136800</v>
      </c>
    </row>
    <row r="207" spans="1:2" x14ac:dyDescent="0.35">
      <c r="A207" t="s">
        <v>180</v>
      </c>
      <c r="B207">
        <v>-325300</v>
      </c>
    </row>
    <row r="208" spans="1:2" x14ac:dyDescent="0.35">
      <c r="A208" t="s">
        <v>181</v>
      </c>
      <c r="B208">
        <v>-15557300</v>
      </c>
    </row>
    <row r="209" spans="1:2" x14ac:dyDescent="0.35">
      <c r="A209" t="s">
        <v>182</v>
      </c>
      <c r="B209">
        <v>1731300</v>
      </c>
    </row>
    <row r="210" spans="1:2" x14ac:dyDescent="0.35">
      <c r="A210" t="s">
        <v>183</v>
      </c>
      <c r="B210">
        <v>-2787500</v>
      </c>
    </row>
    <row r="211" spans="1:2" x14ac:dyDescent="0.35">
      <c r="A211" t="s">
        <v>184</v>
      </c>
      <c r="B211">
        <v>-13590000</v>
      </c>
    </row>
    <row r="212" spans="1:2" x14ac:dyDescent="0.35">
      <c r="A212" t="s">
        <v>185</v>
      </c>
      <c r="B212">
        <v>1000100</v>
      </c>
    </row>
    <row r="213" spans="1:2" x14ac:dyDescent="0.35">
      <c r="A213" t="s">
        <v>212</v>
      </c>
      <c r="B213">
        <v>-1069300</v>
      </c>
    </row>
    <row r="214" spans="1:2" x14ac:dyDescent="0.35">
      <c r="A214" t="s">
        <v>221</v>
      </c>
      <c r="B214">
        <v>-79300</v>
      </c>
    </row>
    <row r="215" spans="1:2" x14ac:dyDescent="0.35">
      <c r="A215" t="s">
        <v>222</v>
      </c>
      <c r="B215">
        <v>395600</v>
      </c>
    </row>
    <row r="216" spans="1:2" x14ac:dyDescent="0.35">
      <c r="A216" t="s">
        <v>223</v>
      </c>
      <c r="B216">
        <v>360800</v>
      </c>
    </row>
    <row r="217" spans="1:2" x14ac:dyDescent="0.35">
      <c r="A217" t="s">
        <v>224</v>
      </c>
      <c r="B217">
        <v>-100</v>
      </c>
    </row>
    <row r="218" spans="1:2" x14ac:dyDescent="0.35">
      <c r="A218" t="s">
        <v>225</v>
      </c>
      <c r="B218">
        <v>2470800</v>
      </c>
    </row>
    <row r="219" spans="1:2" x14ac:dyDescent="0.35">
      <c r="A219" t="s">
        <v>226</v>
      </c>
      <c r="B219">
        <v>2471700</v>
      </c>
    </row>
    <row r="220" spans="1:2" x14ac:dyDescent="0.35">
      <c r="A220" t="s">
        <v>227</v>
      </c>
      <c r="B220">
        <v>-2504600</v>
      </c>
    </row>
    <row r="221" spans="1:2" x14ac:dyDescent="0.35">
      <c r="A221" t="s">
        <v>228</v>
      </c>
      <c r="B221">
        <v>-5197200</v>
      </c>
    </row>
    <row r="222" spans="1:2" x14ac:dyDescent="0.35">
      <c r="A222" t="s">
        <v>229</v>
      </c>
      <c r="B222">
        <v>437800</v>
      </c>
    </row>
    <row r="223" spans="1:2" x14ac:dyDescent="0.35">
      <c r="A223" t="s">
        <v>230</v>
      </c>
      <c r="B223">
        <v>-184200</v>
      </c>
    </row>
    <row r="224" spans="1:2" x14ac:dyDescent="0.35">
      <c r="A224" t="s">
        <v>213</v>
      </c>
      <c r="B224">
        <v>-9157400</v>
      </c>
    </row>
    <row r="225" spans="1:2" x14ac:dyDescent="0.35">
      <c r="A225" t="s">
        <v>231</v>
      </c>
      <c r="B225">
        <v>-210100</v>
      </c>
    </row>
    <row r="226" spans="1:2" x14ac:dyDescent="0.35">
      <c r="A226" t="s">
        <v>232</v>
      </c>
      <c r="B226">
        <v>5407800</v>
      </c>
    </row>
    <row r="227" spans="1:2" x14ac:dyDescent="0.35">
      <c r="A227" t="s">
        <v>233</v>
      </c>
      <c r="B227">
        <v>719700</v>
      </c>
    </row>
    <row r="228" spans="1:2" x14ac:dyDescent="0.35">
      <c r="A228" t="s">
        <v>234</v>
      </c>
      <c r="B228">
        <v>-378600</v>
      </c>
    </row>
    <row r="229" spans="1:2" x14ac:dyDescent="0.35">
      <c r="A229" t="s">
        <v>235</v>
      </c>
      <c r="B229">
        <v>4051200</v>
      </c>
    </row>
    <row r="230" spans="1:2" x14ac:dyDescent="0.35">
      <c r="A230" t="s">
        <v>236</v>
      </c>
      <c r="B230">
        <v>590300</v>
      </c>
    </row>
    <row r="231" spans="1:2" x14ac:dyDescent="0.35">
      <c r="A231" t="s">
        <v>237</v>
      </c>
      <c r="B231">
        <v>-88600</v>
      </c>
    </row>
    <row r="232" spans="1:2" x14ac:dyDescent="0.35">
      <c r="A232" t="s">
        <v>238</v>
      </c>
      <c r="B232">
        <v>-526100</v>
      </c>
    </row>
    <row r="233" spans="1:2" x14ac:dyDescent="0.35">
      <c r="A233" t="s">
        <v>239</v>
      </c>
      <c r="B233">
        <v>100</v>
      </c>
    </row>
    <row r="234" spans="1:2" x14ac:dyDescent="0.35">
      <c r="A234" t="s">
        <v>240</v>
      </c>
      <c r="B234">
        <v>-431700</v>
      </c>
    </row>
    <row r="235" spans="1:2" x14ac:dyDescent="0.35">
      <c r="A235" t="s">
        <v>214</v>
      </c>
      <c r="B235">
        <v>1758500</v>
      </c>
    </row>
    <row r="236" spans="1:2" x14ac:dyDescent="0.35">
      <c r="A236" t="s">
        <v>241</v>
      </c>
      <c r="B236">
        <v>-10500</v>
      </c>
    </row>
    <row r="237" spans="1:2" x14ac:dyDescent="0.35">
      <c r="A237" t="s">
        <v>242</v>
      </c>
      <c r="B237">
        <v>100</v>
      </c>
    </row>
    <row r="238" spans="1:2" x14ac:dyDescent="0.35">
      <c r="A238" t="s">
        <v>243</v>
      </c>
      <c r="B238">
        <v>-836500</v>
      </c>
    </row>
    <row r="239" spans="1:2" x14ac:dyDescent="0.35">
      <c r="A239" t="s">
        <v>244</v>
      </c>
      <c r="B239">
        <v>-239500</v>
      </c>
    </row>
    <row r="240" spans="1:2" x14ac:dyDescent="0.35">
      <c r="A240" t="s">
        <v>245</v>
      </c>
      <c r="B240">
        <v>271000</v>
      </c>
    </row>
    <row r="241" spans="1:2" x14ac:dyDescent="0.35">
      <c r="A241" t="s">
        <v>246</v>
      </c>
      <c r="B241">
        <v>1000100</v>
      </c>
    </row>
    <row r="242" spans="1:2" x14ac:dyDescent="0.35">
      <c r="A242" t="s">
        <v>247</v>
      </c>
      <c r="B242">
        <v>-62300</v>
      </c>
    </row>
    <row r="243" spans="1:2" x14ac:dyDescent="0.35">
      <c r="A243" t="s">
        <v>248</v>
      </c>
      <c r="B243">
        <v>-204700</v>
      </c>
    </row>
    <row r="244" spans="1:2" x14ac:dyDescent="0.35">
      <c r="A244" t="s">
        <v>215</v>
      </c>
      <c r="B244">
        <v>-3923400</v>
      </c>
    </row>
    <row r="245" spans="1:2" x14ac:dyDescent="0.35">
      <c r="A245" t="s">
        <v>216</v>
      </c>
      <c r="B245">
        <v>-1323600</v>
      </c>
    </row>
    <row r="246" spans="1:2" x14ac:dyDescent="0.35">
      <c r="A246" t="s">
        <v>217</v>
      </c>
      <c r="B246">
        <v>-4339800</v>
      </c>
    </row>
    <row r="247" spans="1:2" x14ac:dyDescent="0.35">
      <c r="A247" t="s">
        <v>218</v>
      </c>
      <c r="B247">
        <v>-4625100</v>
      </c>
    </row>
    <row r="248" spans="1:2" x14ac:dyDescent="0.35">
      <c r="A248" t="s">
        <v>219</v>
      </c>
      <c r="B248">
        <v>6018900</v>
      </c>
    </row>
    <row r="249" spans="1:2" x14ac:dyDescent="0.35">
      <c r="A249" t="s">
        <v>220</v>
      </c>
      <c r="B249">
        <v>-1961900</v>
      </c>
    </row>
    <row r="250" spans="1:2" x14ac:dyDescent="0.35">
      <c r="A250" t="s">
        <v>249</v>
      </c>
      <c r="B250">
        <v>4181100</v>
      </c>
    </row>
    <row r="251" spans="1:2" x14ac:dyDescent="0.35">
      <c r="A251" t="s">
        <v>256</v>
      </c>
      <c r="B251">
        <v>-100</v>
      </c>
    </row>
    <row r="252" spans="1:2" x14ac:dyDescent="0.35">
      <c r="A252" t="s">
        <v>257</v>
      </c>
      <c r="B252">
        <v>2395600</v>
      </c>
    </row>
    <row r="253" spans="1:2" x14ac:dyDescent="0.35">
      <c r="A253" t="s">
        <v>258</v>
      </c>
      <c r="B253">
        <v>6031400</v>
      </c>
    </row>
    <row r="254" spans="1:2" x14ac:dyDescent="0.35">
      <c r="A254" t="s">
        <v>259</v>
      </c>
      <c r="B254">
        <v>1734500</v>
      </c>
    </row>
    <row r="255" spans="1:2" x14ac:dyDescent="0.35">
      <c r="A255" t="s">
        <v>260</v>
      </c>
      <c r="B255">
        <v>271300</v>
      </c>
    </row>
    <row r="256" spans="1:2" x14ac:dyDescent="0.35">
      <c r="A256" t="s">
        <v>261</v>
      </c>
      <c r="B256">
        <v>478500</v>
      </c>
    </row>
    <row r="257" spans="1:2" x14ac:dyDescent="0.35">
      <c r="A257" t="s">
        <v>262</v>
      </c>
      <c r="B257">
        <v>2293700</v>
      </c>
    </row>
    <row r="258" spans="1:2" x14ac:dyDescent="0.35">
      <c r="A258" t="s">
        <v>263</v>
      </c>
      <c r="B258">
        <v>100</v>
      </c>
    </row>
    <row r="259" spans="1:2" x14ac:dyDescent="0.35">
      <c r="A259" t="s">
        <v>264</v>
      </c>
      <c r="B259">
        <v>1663500</v>
      </c>
    </row>
    <row r="260" spans="1:2" x14ac:dyDescent="0.35">
      <c r="A260" t="s">
        <v>265</v>
      </c>
      <c r="B260">
        <v>2094600</v>
      </c>
    </row>
    <row r="261" spans="1:2" x14ac:dyDescent="0.35">
      <c r="A261" t="s">
        <v>250</v>
      </c>
      <c r="B261">
        <v>805000</v>
      </c>
    </row>
    <row r="262" spans="1:2" x14ac:dyDescent="0.35">
      <c r="A262" t="s">
        <v>266</v>
      </c>
      <c r="B262">
        <v>488100</v>
      </c>
    </row>
    <row r="263" spans="1:2" x14ac:dyDescent="0.35">
      <c r="A263" t="s">
        <v>251</v>
      </c>
      <c r="B263">
        <v>5791500</v>
      </c>
    </row>
    <row r="264" spans="1:2" x14ac:dyDescent="0.35">
      <c r="A264" t="s">
        <v>252</v>
      </c>
      <c r="B264">
        <v>90900</v>
      </c>
    </row>
    <row r="265" spans="1:2" x14ac:dyDescent="0.35">
      <c r="A265" t="s">
        <v>253</v>
      </c>
      <c r="B265">
        <v>1622400</v>
      </c>
    </row>
    <row r="266" spans="1:2" x14ac:dyDescent="0.35">
      <c r="A266" t="s">
        <v>254</v>
      </c>
      <c r="B266">
        <v>851700</v>
      </c>
    </row>
    <row r="267" spans="1:2" x14ac:dyDescent="0.35">
      <c r="A267" t="s">
        <v>255</v>
      </c>
      <c r="B267">
        <v>0</v>
      </c>
    </row>
    <row r="268" spans="1:2" x14ac:dyDescent="0.35">
      <c r="A268" t="s">
        <v>267</v>
      </c>
      <c r="B268">
        <v>0</v>
      </c>
    </row>
    <row r="269" spans="1:2" x14ac:dyDescent="0.35">
      <c r="A269" t="s">
        <v>276</v>
      </c>
      <c r="B269">
        <v>-200</v>
      </c>
    </row>
    <row r="270" spans="1:2" x14ac:dyDescent="0.35">
      <c r="A270" t="s">
        <v>277</v>
      </c>
      <c r="B270">
        <v>0</v>
      </c>
    </row>
    <row r="271" spans="1:2" x14ac:dyDescent="0.35">
      <c r="A271" t="s">
        <v>278</v>
      </c>
      <c r="B271">
        <v>-3000100</v>
      </c>
    </row>
    <row r="272" spans="1:2" x14ac:dyDescent="0.35">
      <c r="A272" t="s">
        <v>279</v>
      </c>
      <c r="B272">
        <v>-4400000</v>
      </c>
    </row>
    <row r="273" spans="1:2" x14ac:dyDescent="0.35">
      <c r="A273" t="s">
        <v>280</v>
      </c>
      <c r="B273">
        <v>-3100100</v>
      </c>
    </row>
    <row r="274" spans="1:2" x14ac:dyDescent="0.35">
      <c r="A274" t="s">
        <v>281</v>
      </c>
      <c r="B274">
        <v>-4000000</v>
      </c>
    </row>
    <row r="275" spans="1:2" x14ac:dyDescent="0.35">
      <c r="A275" t="s">
        <v>282</v>
      </c>
      <c r="B275">
        <v>-100000</v>
      </c>
    </row>
    <row r="276" spans="1:2" x14ac:dyDescent="0.35">
      <c r="A276" t="s">
        <v>283</v>
      </c>
      <c r="B276">
        <v>-147400</v>
      </c>
    </row>
    <row r="277" spans="1:2" x14ac:dyDescent="0.35">
      <c r="A277" t="s">
        <v>284</v>
      </c>
      <c r="B277">
        <v>-100</v>
      </c>
    </row>
    <row r="278" spans="1:2" x14ac:dyDescent="0.35">
      <c r="A278" t="s">
        <v>285</v>
      </c>
      <c r="B278">
        <v>0</v>
      </c>
    </row>
    <row r="279" spans="1:2" x14ac:dyDescent="0.35">
      <c r="A279" t="s">
        <v>268</v>
      </c>
      <c r="B279">
        <v>-100</v>
      </c>
    </row>
    <row r="280" spans="1:2" x14ac:dyDescent="0.35">
      <c r="A280" t="s">
        <v>286</v>
      </c>
      <c r="B280">
        <v>-588100</v>
      </c>
    </row>
    <row r="281" spans="1:2" x14ac:dyDescent="0.35">
      <c r="A281" t="s">
        <v>287</v>
      </c>
      <c r="B281">
        <v>0</v>
      </c>
    </row>
    <row r="282" spans="1:2" x14ac:dyDescent="0.35">
      <c r="A282" t="s">
        <v>288</v>
      </c>
      <c r="B282">
        <v>-500100</v>
      </c>
    </row>
    <row r="283" spans="1:2" x14ac:dyDescent="0.35">
      <c r="A283" t="s">
        <v>289</v>
      </c>
      <c r="B283">
        <v>-1040000</v>
      </c>
    </row>
    <row r="284" spans="1:2" x14ac:dyDescent="0.35">
      <c r="A284" t="s">
        <v>290</v>
      </c>
      <c r="B284">
        <v>0</v>
      </c>
    </row>
    <row r="285" spans="1:2" x14ac:dyDescent="0.35">
      <c r="A285" t="s">
        <v>291</v>
      </c>
      <c r="B285">
        <v>0</v>
      </c>
    </row>
    <row r="286" spans="1:2" x14ac:dyDescent="0.35">
      <c r="A286" t="s">
        <v>292</v>
      </c>
      <c r="B286">
        <v>0</v>
      </c>
    </row>
    <row r="287" spans="1:2" x14ac:dyDescent="0.35">
      <c r="A287" t="s">
        <v>293</v>
      </c>
      <c r="B287">
        <v>0</v>
      </c>
    </row>
    <row r="288" spans="1:2" x14ac:dyDescent="0.35">
      <c r="A288" t="s">
        <v>294</v>
      </c>
      <c r="B288">
        <v>-1000100</v>
      </c>
    </row>
    <row r="289" spans="1:2" x14ac:dyDescent="0.35">
      <c r="A289" t="s">
        <v>295</v>
      </c>
      <c r="B289">
        <v>-500100</v>
      </c>
    </row>
    <row r="290" spans="1:2" x14ac:dyDescent="0.35">
      <c r="A290" t="s">
        <v>269</v>
      </c>
      <c r="B290">
        <v>-1080200</v>
      </c>
    </row>
    <row r="291" spans="1:2" x14ac:dyDescent="0.35">
      <c r="A291" t="s">
        <v>296</v>
      </c>
      <c r="B291">
        <v>0</v>
      </c>
    </row>
    <row r="292" spans="1:2" x14ac:dyDescent="0.35">
      <c r="A292" t="s">
        <v>270</v>
      </c>
      <c r="B292">
        <v>-1556300</v>
      </c>
    </row>
    <row r="293" spans="1:2" x14ac:dyDescent="0.35">
      <c r="A293" t="s">
        <v>271</v>
      </c>
      <c r="B293">
        <v>-394800</v>
      </c>
    </row>
    <row r="294" spans="1:2" x14ac:dyDescent="0.35">
      <c r="A294" t="s">
        <v>272</v>
      </c>
      <c r="B294">
        <v>-603200</v>
      </c>
    </row>
    <row r="295" spans="1:2" x14ac:dyDescent="0.35">
      <c r="A295" t="s">
        <v>273</v>
      </c>
      <c r="B295">
        <v>-725600</v>
      </c>
    </row>
    <row r="296" spans="1:2" x14ac:dyDescent="0.35">
      <c r="A296" t="s">
        <v>274</v>
      </c>
      <c r="B296">
        <v>0</v>
      </c>
    </row>
    <row r="297" spans="1:2" x14ac:dyDescent="0.35">
      <c r="A297" t="s">
        <v>275</v>
      </c>
      <c r="B297">
        <v>-161200</v>
      </c>
    </row>
    <row r="298" spans="1:2" x14ac:dyDescent="0.35">
      <c r="A298" t="s">
        <v>298</v>
      </c>
    </row>
    <row r="299" spans="1:2" x14ac:dyDescent="0.35">
      <c r="A299" t="s">
        <v>307</v>
      </c>
    </row>
    <row r="300" spans="1:2" x14ac:dyDescent="0.35">
      <c r="A300" t="s">
        <v>299</v>
      </c>
    </row>
    <row r="301" spans="1:2" x14ac:dyDescent="0.35">
      <c r="A301" t="s">
        <v>300</v>
      </c>
    </row>
    <row r="302" spans="1:2" x14ac:dyDescent="0.35">
      <c r="A302" t="s">
        <v>301</v>
      </c>
    </row>
    <row r="303" spans="1:2" x14ac:dyDescent="0.35">
      <c r="A303" t="s">
        <v>302</v>
      </c>
    </row>
    <row r="304" spans="1:2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</sheetData>
  <autoFilter ref="A1:B307" xr:uid="{A87F09A1-3B46-4B7C-8183-9B9F41EC9C4F}">
    <sortState xmlns:xlrd2="http://schemas.microsoft.com/office/spreadsheetml/2017/richdata2" ref="A2:B307">
      <sortCondition ref="A1:A30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B53C-F67C-4DA6-B33C-E2693DF1EC3E}">
  <dimension ref="A2:B308"/>
  <sheetViews>
    <sheetView workbookViewId="0">
      <selection sqref="A1:B1048576"/>
    </sheetView>
  </sheetViews>
  <sheetFormatPr baseColWidth="10" defaultRowHeight="14.5" x14ac:dyDescent="0.35"/>
  <sheetData>
    <row r="2" spans="1:2" x14ac:dyDescent="0.35">
      <c r="A2" t="s">
        <v>0</v>
      </c>
      <c r="B2">
        <v>-100</v>
      </c>
    </row>
    <row r="3" spans="1:2" x14ac:dyDescent="0.35">
      <c r="A3" t="s">
        <v>1</v>
      </c>
      <c r="B3">
        <v>-100</v>
      </c>
    </row>
    <row r="4" spans="1:2" x14ac:dyDescent="0.35">
      <c r="A4" t="s">
        <v>2</v>
      </c>
      <c r="B4">
        <v>100</v>
      </c>
    </row>
    <row r="5" spans="1:2" x14ac:dyDescent="0.35">
      <c r="A5" t="s">
        <v>3</v>
      </c>
      <c r="B5">
        <v>917100</v>
      </c>
    </row>
    <row r="6" spans="1:2" x14ac:dyDescent="0.35">
      <c r="A6" t="s">
        <v>4</v>
      </c>
      <c r="B6">
        <v>-4647900</v>
      </c>
    </row>
    <row r="7" spans="1:2" x14ac:dyDescent="0.35">
      <c r="A7" t="s">
        <v>10</v>
      </c>
      <c r="B7">
        <v>0</v>
      </c>
    </row>
    <row r="8" spans="1:2" x14ac:dyDescent="0.35">
      <c r="A8" t="s">
        <v>11</v>
      </c>
      <c r="B8">
        <v>0</v>
      </c>
    </row>
    <row r="9" spans="1:2" x14ac:dyDescent="0.35">
      <c r="A9" t="s">
        <v>5</v>
      </c>
      <c r="B9">
        <v>-714800</v>
      </c>
    </row>
    <row r="10" spans="1:2" x14ac:dyDescent="0.35">
      <c r="A10" t="s">
        <v>6</v>
      </c>
      <c r="B10">
        <v>977700</v>
      </c>
    </row>
    <row r="11" spans="1:2" x14ac:dyDescent="0.35">
      <c r="A11" t="s">
        <v>7</v>
      </c>
      <c r="B11">
        <v>0</v>
      </c>
    </row>
    <row r="12" spans="1:2" x14ac:dyDescent="0.35">
      <c r="A12" t="s">
        <v>8</v>
      </c>
      <c r="B12">
        <v>-314200</v>
      </c>
    </row>
    <row r="13" spans="1:2" x14ac:dyDescent="0.35">
      <c r="A13" t="s">
        <v>9</v>
      </c>
      <c r="B13">
        <v>-2614500</v>
      </c>
    </row>
    <row r="14" spans="1:2" x14ac:dyDescent="0.35">
      <c r="A14" t="s">
        <v>16</v>
      </c>
      <c r="B14">
        <v>0</v>
      </c>
    </row>
    <row r="15" spans="1:2" x14ac:dyDescent="0.35">
      <c r="A15" t="s">
        <v>17</v>
      </c>
      <c r="B15">
        <v>-1016800</v>
      </c>
    </row>
    <row r="16" spans="1:2" x14ac:dyDescent="0.35">
      <c r="A16" t="s">
        <v>12</v>
      </c>
      <c r="B16">
        <v>-151300</v>
      </c>
    </row>
    <row r="17" spans="1:2" x14ac:dyDescent="0.35">
      <c r="A17" t="s">
        <v>13</v>
      </c>
      <c r="B17">
        <v>-1905400</v>
      </c>
    </row>
    <row r="18" spans="1:2" x14ac:dyDescent="0.35">
      <c r="A18" t="s">
        <v>14</v>
      </c>
      <c r="B18">
        <v>-3009600</v>
      </c>
    </row>
    <row r="19" spans="1:2" x14ac:dyDescent="0.35">
      <c r="A19" t="s">
        <v>15</v>
      </c>
      <c r="B19">
        <v>222500</v>
      </c>
    </row>
    <row r="20" spans="1:2" x14ac:dyDescent="0.35">
      <c r="A20" t="s">
        <v>24</v>
      </c>
      <c r="B20">
        <v>-3028600</v>
      </c>
    </row>
    <row r="21" spans="1:2" x14ac:dyDescent="0.35">
      <c r="A21" t="s">
        <v>25</v>
      </c>
      <c r="B21">
        <v>-2009800</v>
      </c>
    </row>
    <row r="22" spans="1:2" x14ac:dyDescent="0.35">
      <c r="A22" t="s">
        <v>26</v>
      </c>
      <c r="B22">
        <v>513500</v>
      </c>
    </row>
    <row r="23" spans="1:2" x14ac:dyDescent="0.35">
      <c r="A23" t="s">
        <v>27</v>
      </c>
      <c r="B23">
        <v>-2091600</v>
      </c>
    </row>
    <row r="24" spans="1:2" x14ac:dyDescent="0.35">
      <c r="A24" t="s">
        <v>28</v>
      </c>
      <c r="B24">
        <v>-1900</v>
      </c>
    </row>
    <row r="25" spans="1:2" x14ac:dyDescent="0.35">
      <c r="A25" t="s">
        <v>29</v>
      </c>
      <c r="B25">
        <v>1272600</v>
      </c>
    </row>
    <row r="26" spans="1:2" x14ac:dyDescent="0.35">
      <c r="A26" t="s">
        <v>30</v>
      </c>
      <c r="B26">
        <v>-6181000</v>
      </c>
    </row>
    <row r="27" spans="1:2" x14ac:dyDescent="0.35">
      <c r="A27" t="s">
        <v>31</v>
      </c>
      <c r="B27">
        <v>-244800</v>
      </c>
    </row>
    <row r="28" spans="1:2" x14ac:dyDescent="0.35">
      <c r="A28" t="s">
        <v>32</v>
      </c>
      <c r="B28">
        <v>-513000</v>
      </c>
    </row>
    <row r="29" spans="1:2" x14ac:dyDescent="0.35">
      <c r="A29" t="s">
        <v>18</v>
      </c>
      <c r="B29">
        <v>1542100</v>
      </c>
    </row>
    <row r="30" spans="1:2" x14ac:dyDescent="0.35">
      <c r="A30" t="s">
        <v>33</v>
      </c>
      <c r="B30">
        <v>-2000</v>
      </c>
    </row>
    <row r="31" spans="1:2" x14ac:dyDescent="0.35">
      <c r="A31" t="s">
        <v>19</v>
      </c>
      <c r="B31">
        <v>3095700</v>
      </c>
    </row>
    <row r="32" spans="1:2" x14ac:dyDescent="0.35">
      <c r="A32" t="s">
        <v>20</v>
      </c>
      <c r="B32">
        <v>-100</v>
      </c>
    </row>
    <row r="33" spans="1:2" x14ac:dyDescent="0.35">
      <c r="A33" t="s">
        <v>21</v>
      </c>
      <c r="B33">
        <v>-4414600</v>
      </c>
    </row>
    <row r="34" spans="1:2" x14ac:dyDescent="0.35">
      <c r="A34" t="s">
        <v>22</v>
      </c>
      <c r="B34">
        <v>-225900</v>
      </c>
    </row>
    <row r="35" spans="1:2" x14ac:dyDescent="0.35">
      <c r="A35" t="s">
        <v>23</v>
      </c>
      <c r="B35">
        <v>-456200</v>
      </c>
    </row>
    <row r="36" spans="1:2" x14ac:dyDescent="0.35">
      <c r="A36" t="s">
        <v>34</v>
      </c>
      <c r="B36">
        <v>-100</v>
      </c>
    </row>
    <row r="37" spans="1:2" x14ac:dyDescent="0.35">
      <c r="A37" t="s">
        <v>41</v>
      </c>
      <c r="B37">
        <v>-10100</v>
      </c>
    </row>
    <row r="38" spans="1:2" x14ac:dyDescent="0.35">
      <c r="A38" t="s">
        <v>35</v>
      </c>
      <c r="B38">
        <v>-3556700</v>
      </c>
    </row>
    <row r="39" spans="1:2" x14ac:dyDescent="0.35">
      <c r="A39" t="s">
        <v>36</v>
      </c>
      <c r="B39">
        <v>500000</v>
      </c>
    </row>
    <row r="40" spans="1:2" x14ac:dyDescent="0.35">
      <c r="A40" t="s">
        <v>37</v>
      </c>
      <c r="B40">
        <v>1356200</v>
      </c>
    </row>
    <row r="41" spans="1:2" x14ac:dyDescent="0.35">
      <c r="A41" t="s">
        <v>38</v>
      </c>
      <c r="B41">
        <v>-3219900</v>
      </c>
    </row>
    <row r="42" spans="1:2" x14ac:dyDescent="0.35">
      <c r="A42" t="s">
        <v>39</v>
      </c>
      <c r="B42">
        <v>-44300</v>
      </c>
    </row>
    <row r="43" spans="1:2" x14ac:dyDescent="0.35">
      <c r="A43" t="s">
        <v>40</v>
      </c>
      <c r="B43">
        <v>500000</v>
      </c>
    </row>
    <row r="44" spans="1:2" x14ac:dyDescent="0.35">
      <c r="A44" t="s">
        <v>42</v>
      </c>
      <c r="B44">
        <v>100</v>
      </c>
    </row>
    <row r="45" spans="1:2" x14ac:dyDescent="0.35">
      <c r="A45" t="s">
        <v>51</v>
      </c>
      <c r="B45">
        <v>2093000</v>
      </c>
    </row>
    <row r="46" spans="1:2" x14ac:dyDescent="0.35">
      <c r="A46" t="s">
        <v>52</v>
      </c>
      <c r="B46">
        <v>-100</v>
      </c>
    </row>
    <row r="47" spans="1:2" x14ac:dyDescent="0.35">
      <c r="A47" t="s">
        <v>53</v>
      </c>
      <c r="B47">
        <v>1030900</v>
      </c>
    </row>
    <row r="48" spans="1:2" x14ac:dyDescent="0.35">
      <c r="A48" t="s">
        <v>54</v>
      </c>
      <c r="B48">
        <v>-98100</v>
      </c>
    </row>
    <row r="49" spans="1:2" x14ac:dyDescent="0.35">
      <c r="A49" t="s">
        <v>55</v>
      </c>
      <c r="B49">
        <v>2638800</v>
      </c>
    </row>
    <row r="50" spans="1:2" x14ac:dyDescent="0.35">
      <c r="A50" t="s">
        <v>56</v>
      </c>
      <c r="B50">
        <v>2946300</v>
      </c>
    </row>
    <row r="51" spans="1:2" x14ac:dyDescent="0.35">
      <c r="A51" t="s">
        <v>57</v>
      </c>
      <c r="B51">
        <v>100</v>
      </c>
    </row>
    <row r="52" spans="1:2" x14ac:dyDescent="0.35">
      <c r="A52" t="s">
        <v>58</v>
      </c>
      <c r="B52">
        <v>680000</v>
      </c>
    </row>
    <row r="53" spans="1:2" x14ac:dyDescent="0.35">
      <c r="A53" t="s">
        <v>59</v>
      </c>
      <c r="B53">
        <v>-78700</v>
      </c>
    </row>
    <row r="54" spans="1:2" x14ac:dyDescent="0.35">
      <c r="A54" t="s">
        <v>60</v>
      </c>
      <c r="B54">
        <v>184400</v>
      </c>
    </row>
    <row r="55" spans="1:2" x14ac:dyDescent="0.35">
      <c r="A55" t="s">
        <v>43</v>
      </c>
      <c r="B55">
        <v>432400</v>
      </c>
    </row>
    <row r="56" spans="1:2" x14ac:dyDescent="0.35">
      <c r="A56" t="s">
        <v>61</v>
      </c>
      <c r="B56">
        <v>436300</v>
      </c>
    </row>
    <row r="57" spans="1:2" x14ac:dyDescent="0.35">
      <c r="A57" t="s">
        <v>62</v>
      </c>
      <c r="B57">
        <v>1780600</v>
      </c>
    </row>
    <row r="58" spans="1:2" x14ac:dyDescent="0.35">
      <c r="A58" t="s">
        <v>63</v>
      </c>
      <c r="B58">
        <v>3576300</v>
      </c>
    </row>
    <row r="59" spans="1:2" x14ac:dyDescent="0.35">
      <c r="A59" t="s">
        <v>64</v>
      </c>
      <c r="B59">
        <v>-538000</v>
      </c>
    </row>
    <row r="60" spans="1:2" x14ac:dyDescent="0.35">
      <c r="A60" t="s">
        <v>65</v>
      </c>
      <c r="B60">
        <v>666500</v>
      </c>
    </row>
    <row r="61" spans="1:2" x14ac:dyDescent="0.35">
      <c r="A61" t="s">
        <v>66</v>
      </c>
      <c r="B61">
        <v>-200</v>
      </c>
    </row>
    <row r="62" spans="1:2" x14ac:dyDescent="0.35">
      <c r="A62" t="s">
        <v>67</v>
      </c>
      <c r="B62">
        <v>501800</v>
      </c>
    </row>
    <row r="63" spans="1:2" x14ac:dyDescent="0.35">
      <c r="A63" t="s">
        <v>68</v>
      </c>
      <c r="B63">
        <v>954700</v>
      </c>
    </row>
    <row r="64" spans="1:2" x14ac:dyDescent="0.35">
      <c r="A64" t="s">
        <v>69</v>
      </c>
      <c r="B64">
        <v>499600</v>
      </c>
    </row>
    <row r="65" spans="1:2" x14ac:dyDescent="0.35">
      <c r="A65" t="s">
        <v>44</v>
      </c>
      <c r="B65">
        <v>-100</v>
      </c>
    </row>
    <row r="66" spans="1:2" x14ac:dyDescent="0.35">
      <c r="A66" t="s">
        <v>45</v>
      </c>
      <c r="B66">
        <v>-100</v>
      </c>
    </row>
    <row r="67" spans="1:2" x14ac:dyDescent="0.35">
      <c r="A67" t="s">
        <v>46</v>
      </c>
      <c r="B67">
        <v>-300</v>
      </c>
    </row>
    <row r="68" spans="1:2" x14ac:dyDescent="0.35">
      <c r="A68" t="s">
        <v>47</v>
      </c>
      <c r="B68">
        <v>5000000</v>
      </c>
    </row>
    <row r="69" spans="1:2" x14ac:dyDescent="0.35">
      <c r="A69" t="s">
        <v>48</v>
      </c>
      <c r="B69">
        <v>-100</v>
      </c>
    </row>
    <row r="70" spans="1:2" x14ac:dyDescent="0.35">
      <c r="A70" t="s">
        <v>49</v>
      </c>
      <c r="B70">
        <v>2974800</v>
      </c>
    </row>
    <row r="71" spans="1:2" x14ac:dyDescent="0.35">
      <c r="A71" t="s">
        <v>50</v>
      </c>
      <c r="B71">
        <v>967500</v>
      </c>
    </row>
    <row r="72" spans="1:2" x14ac:dyDescent="0.35">
      <c r="A72" t="s">
        <v>70</v>
      </c>
      <c r="B72">
        <v>-100</v>
      </c>
    </row>
    <row r="73" spans="1:2" x14ac:dyDescent="0.35">
      <c r="A73" t="s">
        <v>79</v>
      </c>
      <c r="B73">
        <v>-6269500</v>
      </c>
    </row>
    <row r="74" spans="1:2" x14ac:dyDescent="0.35">
      <c r="A74" t="s">
        <v>80</v>
      </c>
      <c r="B74">
        <v>8693800</v>
      </c>
    </row>
    <row r="75" spans="1:2" x14ac:dyDescent="0.35">
      <c r="A75" t="s">
        <v>81</v>
      </c>
      <c r="B75">
        <v>1693000</v>
      </c>
    </row>
    <row r="76" spans="1:2" x14ac:dyDescent="0.35">
      <c r="A76" t="s">
        <v>82</v>
      </c>
      <c r="B76">
        <v>865400</v>
      </c>
    </row>
    <row r="77" spans="1:2" x14ac:dyDescent="0.35">
      <c r="A77" t="s">
        <v>83</v>
      </c>
      <c r="B77">
        <v>-3752000</v>
      </c>
    </row>
    <row r="78" spans="1:2" x14ac:dyDescent="0.35">
      <c r="A78" t="s">
        <v>84</v>
      </c>
      <c r="B78">
        <v>-100</v>
      </c>
    </row>
    <row r="79" spans="1:2" x14ac:dyDescent="0.35">
      <c r="A79" t="s">
        <v>85</v>
      </c>
      <c r="B79">
        <v>2151400</v>
      </c>
    </row>
    <row r="80" spans="1:2" x14ac:dyDescent="0.35">
      <c r="A80" t="s">
        <v>86</v>
      </c>
      <c r="B80">
        <v>-1032100</v>
      </c>
    </row>
    <row r="81" spans="1:2" x14ac:dyDescent="0.35">
      <c r="A81" t="s">
        <v>87</v>
      </c>
      <c r="B81">
        <v>-430300</v>
      </c>
    </row>
    <row r="82" spans="1:2" x14ac:dyDescent="0.35">
      <c r="A82" t="s">
        <v>88</v>
      </c>
      <c r="B82">
        <v>2365700</v>
      </c>
    </row>
    <row r="83" spans="1:2" x14ac:dyDescent="0.35">
      <c r="A83" t="s">
        <v>71</v>
      </c>
      <c r="B83">
        <v>100</v>
      </c>
    </row>
    <row r="84" spans="1:2" x14ac:dyDescent="0.35">
      <c r="A84" t="s">
        <v>89</v>
      </c>
      <c r="B84">
        <v>996700</v>
      </c>
    </row>
    <row r="85" spans="1:2" x14ac:dyDescent="0.35">
      <c r="A85" t="s">
        <v>90</v>
      </c>
      <c r="B85">
        <v>0</v>
      </c>
    </row>
    <row r="86" spans="1:2" x14ac:dyDescent="0.35">
      <c r="A86" t="s">
        <v>91</v>
      </c>
      <c r="B86">
        <v>2333600</v>
      </c>
    </row>
    <row r="87" spans="1:2" x14ac:dyDescent="0.35">
      <c r="A87" t="s">
        <v>92</v>
      </c>
      <c r="B87">
        <v>200000</v>
      </c>
    </row>
    <row r="88" spans="1:2" x14ac:dyDescent="0.35">
      <c r="A88" t="s">
        <v>93</v>
      </c>
      <c r="B88">
        <v>161700</v>
      </c>
    </row>
    <row r="89" spans="1:2" x14ac:dyDescent="0.35">
      <c r="A89" t="s">
        <v>94</v>
      </c>
      <c r="B89">
        <v>-3136200</v>
      </c>
    </row>
    <row r="90" spans="1:2" x14ac:dyDescent="0.35">
      <c r="A90" t="s">
        <v>95</v>
      </c>
      <c r="B90">
        <v>-84400</v>
      </c>
    </row>
    <row r="91" spans="1:2" x14ac:dyDescent="0.35">
      <c r="A91" t="s">
        <v>96</v>
      </c>
      <c r="B91">
        <v>-187600</v>
      </c>
    </row>
    <row r="92" spans="1:2" x14ac:dyDescent="0.35">
      <c r="A92" t="s">
        <v>97</v>
      </c>
      <c r="B92">
        <v>-7380900</v>
      </c>
    </row>
    <row r="93" spans="1:2" x14ac:dyDescent="0.35">
      <c r="A93" t="s">
        <v>98</v>
      </c>
      <c r="B93">
        <v>-153700</v>
      </c>
    </row>
    <row r="94" spans="1:2" x14ac:dyDescent="0.35">
      <c r="A94" t="s">
        <v>72</v>
      </c>
      <c r="B94">
        <v>-401400</v>
      </c>
    </row>
    <row r="95" spans="1:2" x14ac:dyDescent="0.35">
      <c r="A95" t="s">
        <v>99</v>
      </c>
      <c r="B95">
        <v>-300</v>
      </c>
    </row>
    <row r="96" spans="1:2" x14ac:dyDescent="0.35">
      <c r="A96" t="s">
        <v>100</v>
      </c>
      <c r="B96">
        <v>2159800</v>
      </c>
    </row>
    <row r="97" spans="1:2" x14ac:dyDescent="0.35">
      <c r="A97" t="s">
        <v>101</v>
      </c>
      <c r="B97">
        <v>-3155500</v>
      </c>
    </row>
    <row r="98" spans="1:2" x14ac:dyDescent="0.35">
      <c r="A98" t="s">
        <v>102</v>
      </c>
      <c r="B98">
        <v>3759700</v>
      </c>
    </row>
    <row r="99" spans="1:2" x14ac:dyDescent="0.35">
      <c r="A99" t="s">
        <v>103</v>
      </c>
      <c r="B99">
        <v>3164300</v>
      </c>
    </row>
    <row r="100" spans="1:2" x14ac:dyDescent="0.35">
      <c r="A100" t="s">
        <v>73</v>
      </c>
      <c r="B100">
        <v>160000</v>
      </c>
    </row>
    <row r="101" spans="1:2" x14ac:dyDescent="0.35">
      <c r="A101" t="s">
        <v>74</v>
      </c>
      <c r="B101">
        <v>219900</v>
      </c>
    </row>
    <row r="102" spans="1:2" x14ac:dyDescent="0.35">
      <c r="A102" t="s">
        <v>75</v>
      </c>
      <c r="B102">
        <v>0</v>
      </c>
    </row>
    <row r="103" spans="1:2" x14ac:dyDescent="0.35">
      <c r="A103" t="s">
        <v>76</v>
      </c>
      <c r="B103">
        <v>-360900</v>
      </c>
    </row>
    <row r="104" spans="1:2" x14ac:dyDescent="0.35">
      <c r="A104" t="s">
        <v>77</v>
      </c>
      <c r="B104">
        <v>-100</v>
      </c>
    </row>
    <row r="105" spans="1:2" x14ac:dyDescent="0.35">
      <c r="A105" t="s">
        <v>78</v>
      </c>
      <c r="B105">
        <v>-70100</v>
      </c>
    </row>
    <row r="106" spans="1:2" x14ac:dyDescent="0.35">
      <c r="A106" t="s">
        <v>104</v>
      </c>
      <c r="B106">
        <v>-237300</v>
      </c>
    </row>
    <row r="107" spans="1:2" x14ac:dyDescent="0.35">
      <c r="A107" t="s">
        <v>113</v>
      </c>
      <c r="B107">
        <v>2410000</v>
      </c>
    </row>
    <row r="108" spans="1:2" x14ac:dyDescent="0.35">
      <c r="A108" t="s">
        <v>114</v>
      </c>
      <c r="B108">
        <v>100</v>
      </c>
    </row>
    <row r="109" spans="1:2" x14ac:dyDescent="0.35">
      <c r="A109" t="s">
        <v>115</v>
      </c>
      <c r="B109">
        <v>100</v>
      </c>
    </row>
    <row r="110" spans="1:2" x14ac:dyDescent="0.35">
      <c r="A110" t="s">
        <v>116</v>
      </c>
      <c r="B110">
        <v>-100</v>
      </c>
    </row>
    <row r="111" spans="1:2" x14ac:dyDescent="0.35">
      <c r="A111" t="s">
        <v>117</v>
      </c>
      <c r="B111">
        <v>-4045200</v>
      </c>
    </row>
    <row r="112" spans="1:2" x14ac:dyDescent="0.35">
      <c r="A112" t="s">
        <v>118</v>
      </c>
      <c r="B112">
        <v>0</v>
      </c>
    </row>
    <row r="113" spans="1:2" x14ac:dyDescent="0.35">
      <c r="A113" t="s">
        <v>119</v>
      </c>
      <c r="B113">
        <v>-992400</v>
      </c>
    </row>
    <row r="114" spans="1:2" x14ac:dyDescent="0.35">
      <c r="A114" t="s">
        <v>120</v>
      </c>
      <c r="B114">
        <v>2330400</v>
      </c>
    </row>
    <row r="115" spans="1:2" x14ac:dyDescent="0.35">
      <c r="A115" t="s">
        <v>121</v>
      </c>
      <c r="B115">
        <v>2131400</v>
      </c>
    </row>
    <row r="116" spans="1:2" x14ac:dyDescent="0.35">
      <c r="A116" t="s">
        <v>122</v>
      </c>
      <c r="B116">
        <v>-700</v>
      </c>
    </row>
    <row r="117" spans="1:2" x14ac:dyDescent="0.35">
      <c r="A117" t="s">
        <v>105</v>
      </c>
      <c r="B117">
        <v>100</v>
      </c>
    </row>
    <row r="118" spans="1:2" x14ac:dyDescent="0.35">
      <c r="A118" t="s">
        <v>123</v>
      </c>
      <c r="B118">
        <v>1481300</v>
      </c>
    </row>
    <row r="119" spans="1:2" x14ac:dyDescent="0.35">
      <c r="A119" t="s">
        <v>124</v>
      </c>
      <c r="B119">
        <v>2558000</v>
      </c>
    </row>
    <row r="120" spans="1:2" x14ac:dyDescent="0.35">
      <c r="A120" t="s">
        <v>125</v>
      </c>
      <c r="B120">
        <v>-398100</v>
      </c>
    </row>
    <row r="121" spans="1:2" x14ac:dyDescent="0.35">
      <c r="A121" t="s">
        <v>126</v>
      </c>
      <c r="B121">
        <v>1000100</v>
      </c>
    </row>
    <row r="122" spans="1:2" x14ac:dyDescent="0.35">
      <c r="A122" t="s">
        <v>127</v>
      </c>
      <c r="B122">
        <v>603900</v>
      </c>
    </row>
    <row r="123" spans="1:2" x14ac:dyDescent="0.35">
      <c r="A123" t="s">
        <v>128</v>
      </c>
      <c r="B123">
        <v>1935200</v>
      </c>
    </row>
    <row r="124" spans="1:2" x14ac:dyDescent="0.35">
      <c r="A124" t="s">
        <v>129</v>
      </c>
      <c r="B124">
        <v>0</v>
      </c>
    </row>
    <row r="125" spans="1:2" x14ac:dyDescent="0.35">
      <c r="A125" t="s">
        <v>130</v>
      </c>
      <c r="B125">
        <v>0</v>
      </c>
    </row>
    <row r="126" spans="1:2" x14ac:dyDescent="0.35">
      <c r="A126" t="s">
        <v>131</v>
      </c>
      <c r="B126">
        <v>1212100</v>
      </c>
    </row>
    <row r="127" spans="1:2" x14ac:dyDescent="0.35">
      <c r="A127" t="s">
        <v>132</v>
      </c>
      <c r="B127">
        <v>-300</v>
      </c>
    </row>
    <row r="128" spans="1:2" x14ac:dyDescent="0.35">
      <c r="A128" t="s">
        <v>106</v>
      </c>
      <c r="B128">
        <v>-1583400</v>
      </c>
    </row>
    <row r="129" spans="1:2" x14ac:dyDescent="0.35">
      <c r="A129" t="s">
        <v>133</v>
      </c>
      <c r="B129">
        <v>-153000</v>
      </c>
    </row>
    <row r="130" spans="1:2" x14ac:dyDescent="0.35">
      <c r="A130" t="s">
        <v>107</v>
      </c>
      <c r="B130">
        <v>-613300</v>
      </c>
    </row>
    <row r="131" spans="1:2" x14ac:dyDescent="0.35">
      <c r="A131" t="s">
        <v>108</v>
      </c>
      <c r="B131">
        <v>-413900</v>
      </c>
    </row>
    <row r="132" spans="1:2" x14ac:dyDescent="0.35">
      <c r="A132" t="s">
        <v>109</v>
      </c>
      <c r="B132">
        <v>2799900</v>
      </c>
    </row>
    <row r="133" spans="1:2" x14ac:dyDescent="0.35">
      <c r="A133" t="s">
        <v>110</v>
      </c>
      <c r="B133">
        <v>1836800</v>
      </c>
    </row>
    <row r="134" spans="1:2" x14ac:dyDescent="0.35">
      <c r="A134" t="s">
        <v>111</v>
      </c>
      <c r="B134">
        <v>1700000</v>
      </c>
    </row>
    <row r="135" spans="1:2" x14ac:dyDescent="0.35">
      <c r="A135" t="s">
        <v>112</v>
      </c>
      <c r="B135">
        <v>-100</v>
      </c>
    </row>
    <row r="136" spans="1:2" x14ac:dyDescent="0.35">
      <c r="A136" t="s">
        <v>134</v>
      </c>
      <c r="B136">
        <v>566900</v>
      </c>
    </row>
    <row r="137" spans="1:2" x14ac:dyDescent="0.35">
      <c r="A137" t="s">
        <v>143</v>
      </c>
      <c r="B137">
        <v>100</v>
      </c>
    </row>
    <row r="138" spans="1:2" x14ac:dyDescent="0.35">
      <c r="A138" t="s">
        <v>144</v>
      </c>
      <c r="B138">
        <v>-100</v>
      </c>
    </row>
    <row r="139" spans="1:2" x14ac:dyDescent="0.35">
      <c r="A139" t="s">
        <v>145</v>
      </c>
      <c r="B139">
        <v>-6000</v>
      </c>
    </row>
    <row r="140" spans="1:2" x14ac:dyDescent="0.35">
      <c r="A140" t="s">
        <v>146</v>
      </c>
      <c r="B140">
        <v>100</v>
      </c>
    </row>
    <row r="141" spans="1:2" x14ac:dyDescent="0.35">
      <c r="A141" t="s">
        <v>135</v>
      </c>
      <c r="B141">
        <v>-6206800</v>
      </c>
    </row>
    <row r="142" spans="1:2" x14ac:dyDescent="0.35">
      <c r="A142" t="s">
        <v>136</v>
      </c>
      <c r="B142">
        <v>-511100</v>
      </c>
    </row>
    <row r="143" spans="1:2" x14ac:dyDescent="0.35">
      <c r="A143" t="s">
        <v>137</v>
      </c>
      <c r="B143">
        <v>792600</v>
      </c>
    </row>
    <row r="144" spans="1:2" x14ac:dyDescent="0.35">
      <c r="A144" t="s">
        <v>138</v>
      </c>
      <c r="B144">
        <v>3277800</v>
      </c>
    </row>
    <row r="145" spans="1:2" x14ac:dyDescent="0.35">
      <c r="A145" t="s">
        <v>139</v>
      </c>
      <c r="B145">
        <v>-200</v>
      </c>
    </row>
    <row r="146" spans="1:2" x14ac:dyDescent="0.35">
      <c r="A146" t="s">
        <v>140</v>
      </c>
      <c r="B146">
        <v>355400</v>
      </c>
    </row>
    <row r="147" spans="1:2" x14ac:dyDescent="0.35">
      <c r="A147" t="s">
        <v>141</v>
      </c>
      <c r="B147">
        <v>-100</v>
      </c>
    </row>
    <row r="148" spans="1:2" x14ac:dyDescent="0.35">
      <c r="A148" t="s">
        <v>142</v>
      </c>
      <c r="B148">
        <v>1126100</v>
      </c>
    </row>
    <row r="149" spans="1:2" x14ac:dyDescent="0.35">
      <c r="A149" t="s">
        <v>147</v>
      </c>
      <c r="B149">
        <v>-60200</v>
      </c>
    </row>
    <row r="150" spans="1:2" x14ac:dyDescent="0.35">
      <c r="A150" t="s">
        <v>156</v>
      </c>
      <c r="B150">
        <v>-2558100</v>
      </c>
    </row>
    <row r="151" spans="1:2" x14ac:dyDescent="0.35">
      <c r="A151" t="s">
        <v>157</v>
      </c>
      <c r="B151">
        <v>-3577200</v>
      </c>
    </row>
    <row r="152" spans="1:2" x14ac:dyDescent="0.35">
      <c r="A152" t="s">
        <v>158</v>
      </c>
      <c r="B152">
        <v>-300</v>
      </c>
    </row>
    <row r="153" spans="1:2" x14ac:dyDescent="0.35">
      <c r="A153" t="s">
        <v>159</v>
      </c>
      <c r="B153">
        <v>727500</v>
      </c>
    </row>
    <row r="154" spans="1:2" x14ac:dyDescent="0.35">
      <c r="A154" t="s">
        <v>160</v>
      </c>
      <c r="B154">
        <v>-7674300</v>
      </c>
    </row>
    <row r="155" spans="1:2" x14ac:dyDescent="0.35">
      <c r="A155" t="s">
        <v>161</v>
      </c>
      <c r="B155">
        <v>-1761800</v>
      </c>
    </row>
    <row r="156" spans="1:2" x14ac:dyDescent="0.35">
      <c r="A156" t="s">
        <v>162</v>
      </c>
      <c r="B156">
        <v>-45000</v>
      </c>
    </row>
    <row r="157" spans="1:2" x14ac:dyDescent="0.35">
      <c r="A157" t="s">
        <v>163</v>
      </c>
      <c r="B157">
        <v>-100</v>
      </c>
    </row>
    <row r="158" spans="1:2" x14ac:dyDescent="0.35">
      <c r="A158" t="s">
        <v>164</v>
      </c>
      <c r="B158">
        <v>0</v>
      </c>
    </row>
    <row r="159" spans="1:2" x14ac:dyDescent="0.35">
      <c r="A159" t="s">
        <v>165</v>
      </c>
      <c r="B159">
        <v>3598400</v>
      </c>
    </row>
    <row r="160" spans="1:2" x14ac:dyDescent="0.35">
      <c r="A160" t="s">
        <v>148</v>
      </c>
      <c r="B160">
        <v>-100</v>
      </c>
    </row>
    <row r="161" spans="1:2" x14ac:dyDescent="0.35">
      <c r="A161" t="s">
        <v>166</v>
      </c>
      <c r="B161">
        <v>-739800</v>
      </c>
    </row>
    <row r="162" spans="1:2" x14ac:dyDescent="0.35">
      <c r="A162" t="s">
        <v>167</v>
      </c>
      <c r="B162">
        <v>-4057700</v>
      </c>
    </row>
    <row r="163" spans="1:2" x14ac:dyDescent="0.35">
      <c r="A163" t="s">
        <v>168</v>
      </c>
      <c r="B163">
        <v>-2970300</v>
      </c>
    </row>
    <row r="164" spans="1:2" x14ac:dyDescent="0.35">
      <c r="A164" t="s">
        <v>169</v>
      </c>
      <c r="B164">
        <v>-1085700</v>
      </c>
    </row>
    <row r="165" spans="1:2" x14ac:dyDescent="0.35">
      <c r="A165" t="s">
        <v>170</v>
      </c>
      <c r="B165">
        <v>-100</v>
      </c>
    </row>
    <row r="166" spans="1:2" x14ac:dyDescent="0.35">
      <c r="A166" t="s">
        <v>171</v>
      </c>
      <c r="B166">
        <v>-100</v>
      </c>
    </row>
    <row r="167" spans="1:2" x14ac:dyDescent="0.35">
      <c r="A167" t="s">
        <v>172</v>
      </c>
      <c r="B167">
        <v>484100</v>
      </c>
    </row>
    <row r="168" spans="1:2" x14ac:dyDescent="0.35">
      <c r="A168" t="s">
        <v>173</v>
      </c>
      <c r="B168">
        <v>-782600</v>
      </c>
    </row>
    <row r="169" spans="1:2" x14ac:dyDescent="0.35">
      <c r="A169" t="s">
        <v>174</v>
      </c>
      <c r="B169">
        <v>1053700</v>
      </c>
    </row>
    <row r="170" spans="1:2" x14ac:dyDescent="0.35">
      <c r="A170" t="s">
        <v>175</v>
      </c>
      <c r="B170">
        <v>3169200</v>
      </c>
    </row>
    <row r="171" spans="1:2" x14ac:dyDescent="0.35">
      <c r="A171" t="s">
        <v>149</v>
      </c>
      <c r="B171">
        <v>-100</v>
      </c>
    </row>
    <row r="172" spans="1:2" x14ac:dyDescent="0.35">
      <c r="A172" t="s">
        <v>176</v>
      </c>
      <c r="B172">
        <v>1217400</v>
      </c>
    </row>
    <row r="173" spans="1:2" x14ac:dyDescent="0.35">
      <c r="A173" t="s">
        <v>150</v>
      </c>
      <c r="B173">
        <v>425700</v>
      </c>
    </row>
    <row r="174" spans="1:2" x14ac:dyDescent="0.35">
      <c r="A174" t="s">
        <v>151</v>
      </c>
      <c r="B174">
        <v>-685300</v>
      </c>
    </row>
    <row r="175" spans="1:2" x14ac:dyDescent="0.35">
      <c r="A175" t="s">
        <v>152</v>
      </c>
      <c r="B175">
        <v>-6019300</v>
      </c>
    </row>
    <row r="176" spans="1:2" x14ac:dyDescent="0.35">
      <c r="A176" t="s">
        <v>153</v>
      </c>
      <c r="B176">
        <v>-100</v>
      </c>
    </row>
    <row r="177" spans="1:2" x14ac:dyDescent="0.35">
      <c r="A177" t="s">
        <v>154</v>
      </c>
      <c r="B177">
        <v>2922500</v>
      </c>
    </row>
    <row r="178" spans="1:2" x14ac:dyDescent="0.35">
      <c r="A178" t="s">
        <v>155</v>
      </c>
      <c r="B178">
        <v>3922200</v>
      </c>
    </row>
    <row r="179" spans="1:2" x14ac:dyDescent="0.35">
      <c r="A179" t="s">
        <v>177</v>
      </c>
      <c r="B179">
        <v>-3983500</v>
      </c>
    </row>
    <row r="180" spans="1:2" x14ac:dyDescent="0.35">
      <c r="A180" t="s">
        <v>186</v>
      </c>
      <c r="B180">
        <v>-2322300</v>
      </c>
    </row>
    <row r="181" spans="1:2" x14ac:dyDescent="0.35">
      <c r="A181" t="s">
        <v>187</v>
      </c>
      <c r="B181">
        <v>-4017200</v>
      </c>
    </row>
    <row r="182" spans="1:2" x14ac:dyDescent="0.35">
      <c r="A182" t="s">
        <v>188</v>
      </c>
      <c r="B182">
        <v>-57000</v>
      </c>
    </row>
    <row r="183" spans="1:2" x14ac:dyDescent="0.35">
      <c r="A183" t="s">
        <v>189</v>
      </c>
      <c r="B183">
        <v>4648200</v>
      </c>
    </row>
    <row r="184" spans="1:2" x14ac:dyDescent="0.35">
      <c r="A184" t="s">
        <v>190</v>
      </c>
      <c r="B184">
        <v>-2925800</v>
      </c>
    </row>
    <row r="185" spans="1:2" x14ac:dyDescent="0.35">
      <c r="A185" t="s">
        <v>191</v>
      </c>
      <c r="B185">
        <v>1727600</v>
      </c>
    </row>
    <row r="186" spans="1:2" x14ac:dyDescent="0.35">
      <c r="A186" t="s">
        <v>192</v>
      </c>
      <c r="B186">
        <v>779000</v>
      </c>
    </row>
    <row r="187" spans="1:2" x14ac:dyDescent="0.35">
      <c r="A187" t="s">
        <v>193</v>
      </c>
      <c r="B187">
        <v>1590700</v>
      </c>
    </row>
    <row r="188" spans="1:2" x14ac:dyDescent="0.35">
      <c r="A188" t="s">
        <v>194</v>
      </c>
      <c r="B188">
        <v>374100</v>
      </c>
    </row>
    <row r="189" spans="1:2" x14ac:dyDescent="0.35">
      <c r="A189" t="s">
        <v>195</v>
      </c>
      <c r="B189">
        <v>4079600</v>
      </c>
    </row>
    <row r="190" spans="1:2" x14ac:dyDescent="0.35">
      <c r="A190" t="s">
        <v>178</v>
      </c>
      <c r="B190">
        <v>-4900</v>
      </c>
    </row>
    <row r="191" spans="1:2" x14ac:dyDescent="0.35">
      <c r="A191" t="s">
        <v>196</v>
      </c>
      <c r="B191">
        <v>-1971200</v>
      </c>
    </row>
    <row r="192" spans="1:2" x14ac:dyDescent="0.35">
      <c r="A192" t="s">
        <v>197</v>
      </c>
      <c r="B192">
        <v>378400</v>
      </c>
    </row>
    <row r="193" spans="1:2" x14ac:dyDescent="0.35">
      <c r="A193" t="s">
        <v>198</v>
      </c>
      <c r="B193">
        <v>-2210000</v>
      </c>
    </row>
    <row r="194" spans="1:2" x14ac:dyDescent="0.35">
      <c r="A194" t="s">
        <v>199</v>
      </c>
      <c r="B194">
        <v>460200</v>
      </c>
    </row>
    <row r="195" spans="1:2" x14ac:dyDescent="0.35">
      <c r="A195" t="s">
        <v>200</v>
      </c>
      <c r="B195">
        <v>100</v>
      </c>
    </row>
    <row r="196" spans="1:2" x14ac:dyDescent="0.35">
      <c r="A196" t="s">
        <v>201</v>
      </c>
      <c r="B196">
        <v>-100</v>
      </c>
    </row>
    <row r="197" spans="1:2" x14ac:dyDescent="0.35">
      <c r="A197" t="s">
        <v>202</v>
      </c>
      <c r="B197">
        <v>-2706900</v>
      </c>
    </row>
    <row r="198" spans="1:2" x14ac:dyDescent="0.35">
      <c r="A198" t="s">
        <v>203</v>
      </c>
      <c r="B198">
        <v>-100</v>
      </c>
    </row>
    <row r="199" spans="1:2" x14ac:dyDescent="0.35">
      <c r="A199" t="s">
        <v>204</v>
      </c>
      <c r="B199">
        <v>-114700</v>
      </c>
    </row>
    <row r="200" spans="1:2" x14ac:dyDescent="0.35">
      <c r="A200" t="s">
        <v>205</v>
      </c>
      <c r="B200">
        <v>100</v>
      </c>
    </row>
    <row r="201" spans="1:2" x14ac:dyDescent="0.35">
      <c r="A201" t="s">
        <v>179</v>
      </c>
      <c r="B201">
        <v>100</v>
      </c>
    </row>
    <row r="202" spans="1:2" x14ac:dyDescent="0.35">
      <c r="A202" t="s">
        <v>206</v>
      </c>
      <c r="B202">
        <v>-28900</v>
      </c>
    </row>
    <row r="203" spans="1:2" x14ac:dyDescent="0.35">
      <c r="A203" t="s">
        <v>207</v>
      </c>
      <c r="B203">
        <v>-463800</v>
      </c>
    </row>
    <row r="204" spans="1:2" x14ac:dyDescent="0.35">
      <c r="A204" t="s">
        <v>208</v>
      </c>
      <c r="B204">
        <v>-323300</v>
      </c>
    </row>
    <row r="205" spans="1:2" x14ac:dyDescent="0.35">
      <c r="A205" t="s">
        <v>209</v>
      </c>
      <c r="B205">
        <v>-30100</v>
      </c>
    </row>
    <row r="206" spans="1:2" x14ac:dyDescent="0.35">
      <c r="A206" t="s">
        <v>210</v>
      </c>
      <c r="B206">
        <v>353300</v>
      </c>
    </row>
    <row r="207" spans="1:2" x14ac:dyDescent="0.35">
      <c r="A207" t="s">
        <v>211</v>
      </c>
      <c r="B207">
        <v>152000</v>
      </c>
    </row>
    <row r="208" spans="1:2" x14ac:dyDescent="0.35">
      <c r="A208" t="s">
        <v>180</v>
      </c>
      <c r="B208">
        <v>-326300</v>
      </c>
    </row>
    <row r="209" spans="1:2" x14ac:dyDescent="0.35">
      <c r="A209" t="s">
        <v>181</v>
      </c>
      <c r="B209">
        <v>-15027100</v>
      </c>
    </row>
    <row r="210" spans="1:2" x14ac:dyDescent="0.35">
      <c r="A210" t="s">
        <v>182</v>
      </c>
      <c r="B210">
        <v>1300000</v>
      </c>
    </row>
    <row r="211" spans="1:2" x14ac:dyDescent="0.35">
      <c r="A211" t="s">
        <v>183</v>
      </c>
      <c r="B211">
        <v>-2369100</v>
      </c>
    </row>
    <row r="212" spans="1:2" x14ac:dyDescent="0.35">
      <c r="A212" t="s">
        <v>184</v>
      </c>
      <c r="B212">
        <v>-11830800</v>
      </c>
    </row>
    <row r="213" spans="1:2" x14ac:dyDescent="0.35">
      <c r="A213" t="s">
        <v>185</v>
      </c>
      <c r="B213">
        <v>1000300</v>
      </c>
    </row>
    <row r="214" spans="1:2" x14ac:dyDescent="0.35">
      <c r="A214" t="s">
        <v>212</v>
      </c>
      <c r="B214">
        <v>-1080600</v>
      </c>
    </row>
    <row r="215" spans="1:2" x14ac:dyDescent="0.35">
      <c r="A215" t="s">
        <v>221</v>
      </c>
      <c r="B215">
        <v>-79600</v>
      </c>
    </row>
    <row r="216" spans="1:2" x14ac:dyDescent="0.35">
      <c r="A216" t="s">
        <v>222</v>
      </c>
      <c r="B216">
        <v>630400</v>
      </c>
    </row>
    <row r="217" spans="1:2" x14ac:dyDescent="0.35">
      <c r="A217" t="s">
        <v>223</v>
      </c>
      <c r="B217">
        <v>-100</v>
      </c>
    </row>
    <row r="218" spans="1:2" x14ac:dyDescent="0.35">
      <c r="A218" t="s">
        <v>224</v>
      </c>
      <c r="B218">
        <v>-34000</v>
      </c>
    </row>
    <row r="219" spans="1:2" x14ac:dyDescent="0.35">
      <c r="A219" t="s">
        <v>225</v>
      </c>
      <c r="B219">
        <v>2130800</v>
      </c>
    </row>
    <row r="220" spans="1:2" x14ac:dyDescent="0.35">
      <c r="A220" t="s">
        <v>226</v>
      </c>
      <c r="B220">
        <v>1407000</v>
      </c>
    </row>
    <row r="221" spans="1:2" x14ac:dyDescent="0.35">
      <c r="A221" t="s">
        <v>227</v>
      </c>
      <c r="B221">
        <v>-2512500</v>
      </c>
    </row>
    <row r="222" spans="1:2" x14ac:dyDescent="0.35">
      <c r="A222" t="s">
        <v>228</v>
      </c>
      <c r="B222">
        <v>-5413900</v>
      </c>
    </row>
    <row r="223" spans="1:2" x14ac:dyDescent="0.35">
      <c r="A223" t="s">
        <v>229</v>
      </c>
      <c r="B223">
        <v>100</v>
      </c>
    </row>
    <row r="224" spans="1:2" x14ac:dyDescent="0.35">
      <c r="A224" t="s">
        <v>230</v>
      </c>
      <c r="B224">
        <v>-184800</v>
      </c>
    </row>
    <row r="225" spans="1:2" x14ac:dyDescent="0.35">
      <c r="A225" t="s">
        <v>213</v>
      </c>
      <c r="B225">
        <v>-9186700</v>
      </c>
    </row>
    <row r="226" spans="1:2" x14ac:dyDescent="0.35">
      <c r="A226" t="s">
        <v>231</v>
      </c>
      <c r="B226">
        <v>-260900</v>
      </c>
    </row>
    <row r="227" spans="1:2" x14ac:dyDescent="0.35">
      <c r="A227" t="s">
        <v>232</v>
      </c>
      <c r="B227">
        <v>0</v>
      </c>
    </row>
    <row r="228" spans="1:2" x14ac:dyDescent="0.35">
      <c r="A228" t="s">
        <v>233</v>
      </c>
      <c r="B228">
        <v>2241300</v>
      </c>
    </row>
    <row r="229" spans="1:2" x14ac:dyDescent="0.35">
      <c r="A229" t="s">
        <v>234</v>
      </c>
      <c r="B229">
        <v>-476800</v>
      </c>
    </row>
    <row r="230" spans="1:2" x14ac:dyDescent="0.35">
      <c r="A230" t="s">
        <v>235</v>
      </c>
      <c r="B230">
        <v>3477400</v>
      </c>
    </row>
    <row r="231" spans="1:2" x14ac:dyDescent="0.35">
      <c r="A231" t="s">
        <v>236</v>
      </c>
      <c r="B231">
        <v>-100</v>
      </c>
    </row>
    <row r="232" spans="1:2" x14ac:dyDescent="0.35">
      <c r="A232" t="s">
        <v>237</v>
      </c>
      <c r="B232">
        <v>-88900</v>
      </c>
    </row>
    <row r="233" spans="1:2" x14ac:dyDescent="0.35">
      <c r="A233" t="s">
        <v>238</v>
      </c>
      <c r="B233">
        <v>-627800</v>
      </c>
    </row>
    <row r="234" spans="1:2" x14ac:dyDescent="0.35">
      <c r="A234" t="s">
        <v>239</v>
      </c>
      <c r="B234">
        <v>-100</v>
      </c>
    </row>
    <row r="235" spans="1:2" x14ac:dyDescent="0.35">
      <c r="A235" t="s">
        <v>240</v>
      </c>
      <c r="B235">
        <v>86400</v>
      </c>
    </row>
    <row r="236" spans="1:2" x14ac:dyDescent="0.35">
      <c r="A236" t="s">
        <v>214</v>
      </c>
      <c r="B236">
        <v>-173400</v>
      </c>
    </row>
    <row r="237" spans="1:2" x14ac:dyDescent="0.35">
      <c r="A237" t="s">
        <v>241</v>
      </c>
      <c r="B237">
        <v>-10600</v>
      </c>
    </row>
    <row r="238" spans="1:2" x14ac:dyDescent="0.35">
      <c r="A238" t="s">
        <v>242</v>
      </c>
      <c r="B238">
        <v>410100</v>
      </c>
    </row>
    <row r="239" spans="1:2" x14ac:dyDescent="0.35">
      <c r="A239" t="s">
        <v>243</v>
      </c>
      <c r="B239">
        <v>-892500</v>
      </c>
    </row>
    <row r="240" spans="1:2" x14ac:dyDescent="0.35">
      <c r="A240" t="s">
        <v>244</v>
      </c>
      <c r="B240">
        <v>-240300</v>
      </c>
    </row>
    <row r="241" spans="1:2" x14ac:dyDescent="0.35">
      <c r="A241" t="s">
        <v>245</v>
      </c>
      <c r="B241">
        <v>271900</v>
      </c>
    </row>
    <row r="242" spans="1:2" x14ac:dyDescent="0.35">
      <c r="A242" t="s">
        <v>246</v>
      </c>
      <c r="B242">
        <v>900000</v>
      </c>
    </row>
    <row r="243" spans="1:2" x14ac:dyDescent="0.35">
      <c r="A243" t="s">
        <v>247</v>
      </c>
      <c r="B243">
        <v>-62500</v>
      </c>
    </row>
    <row r="244" spans="1:2" x14ac:dyDescent="0.35">
      <c r="A244" t="s">
        <v>248</v>
      </c>
      <c r="B244">
        <v>-205400</v>
      </c>
    </row>
    <row r="245" spans="1:2" x14ac:dyDescent="0.35">
      <c r="A245" t="s">
        <v>215</v>
      </c>
      <c r="B245">
        <v>-3512700</v>
      </c>
    </row>
    <row r="246" spans="1:2" x14ac:dyDescent="0.35">
      <c r="A246" t="s">
        <v>216</v>
      </c>
      <c r="B246">
        <v>-1207700</v>
      </c>
    </row>
    <row r="247" spans="1:2" x14ac:dyDescent="0.35">
      <c r="A247" t="s">
        <v>217</v>
      </c>
      <c r="B247">
        <v>-5473800</v>
      </c>
    </row>
    <row r="248" spans="1:2" x14ac:dyDescent="0.35">
      <c r="A248" t="s">
        <v>218</v>
      </c>
      <c r="B248">
        <v>-4639900</v>
      </c>
    </row>
    <row r="249" spans="1:2" x14ac:dyDescent="0.35">
      <c r="A249" t="s">
        <v>219</v>
      </c>
      <c r="B249">
        <v>-6000100</v>
      </c>
    </row>
    <row r="250" spans="1:2" x14ac:dyDescent="0.35">
      <c r="A250" t="s">
        <v>220</v>
      </c>
      <c r="B250">
        <v>-1968200</v>
      </c>
    </row>
    <row r="251" spans="1:2" x14ac:dyDescent="0.35">
      <c r="A251" t="s">
        <v>249</v>
      </c>
      <c r="B251">
        <v>5249100</v>
      </c>
    </row>
    <row r="252" spans="1:2" x14ac:dyDescent="0.35">
      <c r="A252" t="s">
        <v>256</v>
      </c>
      <c r="B252">
        <v>-100</v>
      </c>
    </row>
    <row r="253" spans="1:2" x14ac:dyDescent="0.35">
      <c r="A253" t="s">
        <v>257</v>
      </c>
      <c r="B253">
        <v>2607600</v>
      </c>
    </row>
    <row r="254" spans="1:2" x14ac:dyDescent="0.35">
      <c r="A254" t="s">
        <v>258</v>
      </c>
      <c r="B254">
        <v>7508700</v>
      </c>
    </row>
    <row r="255" spans="1:2" x14ac:dyDescent="0.35">
      <c r="A255" t="s">
        <v>259</v>
      </c>
      <c r="B255">
        <v>2003600</v>
      </c>
    </row>
    <row r="256" spans="1:2" x14ac:dyDescent="0.35">
      <c r="A256" t="s">
        <v>260</v>
      </c>
      <c r="B256">
        <v>-100</v>
      </c>
    </row>
    <row r="257" spans="1:2" x14ac:dyDescent="0.35">
      <c r="A257" t="s">
        <v>261</v>
      </c>
      <c r="B257">
        <v>1989200</v>
      </c>
    </row>
    <row r="258" spans="1:2" x14ac:dyDescent="0.35">
      <c r="A258" t="s">
        <v>262</v>
      </c>
      <c r="B258">
        <v>2755200</v>
      </c>
    </row>
    <row r="259" spans="1:2" x14ac:dyDescent="0.35">
      <c r="A259" t="s">
        <v>263</v>
      </c>
      <c r="B259">
        <v>1194700</v>
      </c>
    </row>
    <row r="260" spans="1:2" x14ac:dyDescent="0.35">
      <c r="A260" t="s">
        <v>264</v>
      </c>
      <c r="B260">
        <v>2369200</v>
      </c>
    </row>
    <row r="261" spans="1:2" x14ac:dyDescent="0.35">
      <c r="A261" t="s">
        <v>265</v>
      </c>
      <c r="B261">
        <v>2942500</v>
      </c>
    </row>
    <row r="262" spans="1:2" x14ac:dyDescent="0.35">
      <c r="A262" t="s">
        <v>250</v>
      </c>
      <c r="B262">
        <v>1030000</v>
      </c>
    </row>
    <row r="263" spans="1:2" x14ac:dyDescent="0.35">
      <c r="A263" t="s">
        <v>266</v>
      </c>
      <c r="B263">
        <v>711600</v>
      </c>
    </row>
    <row r="264" spans="1:2" x14ac:dyDescent="0.35">
      <c r="A264" t="s">
        <v>251</v>
      </c>
      <c r="B264">
        <v>6786200</v>
      </c>
    </row>
    <row r="265" spans="1:2" x14ac:dyDescent="0.35">
      <c r="A265" t="s">
        <v>252</v>
      </c>
      <c r="B265">
        <v>783300</v>
      </c>
    </row>
    <row r="266" spans="1:2" x14ac:dyDescent="0.35">
      <c r="A266" t="s">
        <v>253</v>
      </c>
      <c r="B266">
        <v>3000000</v>
      </c>
    </row>
    <row r="267" spans="1:2" x14ac:dyDescent="0.35">
      <c r="A267" t="s">
        <v>254</v>
      </c>
      <c r="B267">
        <v>300000</v>
      </c>
    </row>
    <row r="268" spans="1:2" x14ac:dyDescent="0.35">
      <c r="A268" t="s">
        <v>255</v>
      </c>
      <c r="B268">
        <v>642800</v>
      </c>
    </row>
    <row r="269" spans="1:2" x14ac:dyDescent="0.35">
      <c r="A269" t="s">
        <v>267</v>
      </c>
      <c r="B269">
        <v>-100</v>
      </c>
    </row>
    <row r="270" spans="1:2" x14ac:dyDescent="0.35">
      <c r="A270" t="s">
        <v>276</v>
      </c>
      <c r="B270">
        <v>-171700</v>
      </c>
    </row>
    <row r="271" spans="1:2" x14ac:dyDescent="0.35">
      <c r="A271" t="s">
        <v>277</v>
      </c>
      <c r="B271">
        <v>-50100</v>
      </c>
    </row>
    <row r="272" spans="1:2" x14ac:dyDescent="0.35">
      <c r="A272" t="s">
        <v>278</v>
      </c>
      <c r="B272">
        <v>-3009700</v>
      </c>
    </row>
    <row r="273" spans="1:2" x14ac:dyDescent="0.35">
      <c r="A273" t="s">
        <v>279</v>
      </c>
      <c r="B273">
        <v>-4414200</v>
      </c>
    </row>
    <row r="274" spans="1:2" x14ac:dyDescent="0.35">
      <c r="A274" t="s">
        <v>280</v>
      </c>
      <c r="B274">
        <v>-3110000</v>
      </c>
    </row>
    <row r="275" spans="1:2" x14ac:dyDescent="0.35">
      <c r="A275" t="s">
        <v>281</v>
      </c>
      <c r="B275">
        <v>-4012800</v>
      </c>
    </row>
    <row r="276" spans="1:2" x14ac:dyDescent="0.35">
      <c r="A276" t="s">
        <v>282</v>
      </c>
      <c r="B276">
        <v>-100300</v>
      </c>
    </row>
    <row r="277" spans="1:2" x14ac:dyDescent="0.35">
      <c r="A277" t="s">
        <v>283</v>
      </c>
      <c r="B277">
        <v>-225000</v>
      </c>
    </row>
    <row r="278" spans="1:2" x14ac:dyDescent="0.35">
      <c r="A278" t="s">
        <v>284</v>
      </c>
      <c r="B278">
        <v>-100</v>
      </c>
    </row>
    <row r="279" spans="1:2" x14ac:dyDescent="0.35">
      <c r="A279" t="s">
        <v>285</v>
      </c>
      <c r="B279">
        <v>100</v>
      </c>
    </row>
    <row r="280" spans="1:2" x14ac:dyDescent="0.35">
      <c r="A280" t="s">
        <v>268</v>
      </c>
      <c r="B280">
        <v>-100</v>
      </c>
    </row>
    <row r="281" spans="1:2" x14ac:dyDescent="0.35">
      <c r="A281" t="s">
        <v>286</v>
      </c>
      <c r="B281">
        <v>-904000</v>
      </c>
    </row>
    <row r="282" spans="1:2" x14ac:dyDescent="0.35">
      <c r="A282" t="s">
        <v>287</v>
      </c>
      <c r="B282">
        <v>-600000</v>
      </c>
    </row>
    <row r="283" spans="1:2" x14ac:dyDescent="0.35">
      <c r="A283" t="s">
        <v>288</v>
      </c>
      <c r="B283">
        <v>-1193200</v>
      </c>
    </row>
    <row r="284" spans="1:2" x14ac:dyDescent="0.35">
      <c r="A284" t="s">
        <v>289</v>
      </c>
      <c r="B284">
        <v>-96800</v>
      </c>
    </row>
    <row r="285" spans="1:2" x14ac:dyDescent="0.35">
      <c r="A285" t="s">
        <v>290</v>
      </c>
      <c r="B285">
        <v>481100</v>
      </c>
    </row>
    <row r="286" spans="1:2" x14ac:dyDescent="0.35">
      <c r="A286" t="s">
        <v>291</v>
      </c>
      <c r="B286">
        <v>1816500</v>
      </c>
    </row>
    <row r="287" spans="1:2" x14ac:dyDescent="0.35">
      <c r="A287" t="s">
        <v>292</v>
      </c>
      <c r="B287">
        <v>-29200</v>
      </c>
    </row>
    <row r="288" spans="1:2" x14ac:dyDescent="0.35">
      <c r="A288" t="s">
        <v>293</v>
      </c>
      <c r="B288">
        <v>0</v>
      </c>
    </row>
    <row r="289" spans="1:2" x14ac:dyDescent="0.35">
      <c r="A289" t="s">
        <v>294</v>
      </c>
      <c r="B289">
        <v>-1410300</v>
      </c>
    </row>
    <row r="290" spans="1:2" x14ac:dyDescent="0.35">
      <c r="A290" t="s">
        <v>295</v>
      </c>
      <c r="B290">
        <v>-839800</v>
      </c>
    </row>
    <row r="291" spans="1:2" x14ac:dyDescent="0.35">
      <c r="A291" t="s">
        <v>269</v>
      </c>
      <c r="B291">
        <v>-83600</v>
      </c>
    </row>
    <row r="292" spans="1:2" x14ac:dyDescent="0.35">
      <c r="A292" t="s">
        <v>296</v>
      </c>
      <c r="B292">
        <v>-2456200</v>
      </c>
    </row>
    <row r="293" spans="1:2" x14ac:dyDescent="0.35">
      <c r="A293" t="s">
        <v>270</v>
      </c>
      <c r="B293">
        <v>-1741500</v>
      </c>
    </row>
    <row r="294" spans="1:2" x14ac:dyDescent="0.35">
      <c r="A294" t="s">
        <v>271</v>
      </c>
      <c r="B294">
        <v>100</v>
      </c>
    </row>
    <row r="295" spans="1:2" x14ac:dyDescent="0.35">
      <c r="A295" t="s">
        <v>272</v>
      </c>
      <c r="B295">
        <v>-5200</v>
      </c>
    </row>
    <row r="296" spans="1:2" x14ac:dyDescent="0.35">
      <c r="A296" t="s">
        <v>273</v>
      </c>
      <c r="B296">
        <v>-3045000</v>
      </c>
    </row>
    <row r="297" spans="1:2" x14ac:dyDescent="0.35">
      <c r="A297" t="s">
        <v>274</v>
      </c>
      <c r="B297">
        <v>-188900</v>
      </c>
    </row>
    <row r="298" spans="1:2" x14ac:dyDescent="0.35">
      <c r="A298" t="s">
        <v>275</v>
      </c>
      <c r="B298">
        <v>-578200</v>
      </c>
    </row>
    <row r="299" spans="1:2" x14ac:dyDescent="0.35">
      <c r="A299" t="s">
        <v>298</v>
      </c>
      <c r="B299">
        <v>-800000</v>
      </c>
    </row>
    <row r="300" spans="1:2" x14ac:dyDescent="0.35">
      <c r="A300" t="s">
        <v>307</v>
      </c>
    </row>
    <row r="301" spans="1:2" x14ac:dyDescent="0.35">
      <c r="A301" t="s">
        <v>299</v>
      </c>
      <c r="B301">
        <v>-400000</v>
      </c>
    </row>
    <row r="302" spans="1:2" x14ac:dyDescent="0.35">
      <c r="A302" t="s">
        <v>300</v>
      </c>
      <c r="B302">
        <v>0</v>
      </c>
    </row>
    <row r="303" spans="1:2" x14ac:dyDescent="0.35">
      <c r="A303" t="s">
        <v>301</v>
      </c>
      <c r="B303">
        <v>0</v>
      </c>
    </row>
    <row r="304" spans="1:2" x14ac:dyDescent="0.35">
      <c r="A304" t="s">
        <v>302</v>
      </c>
      <c r="B304">
        <v>0</v>
      </c>
    </row>
    <row r="305" spans="1:2" x14ac:dyDescent="0.35">
      <c r="A305" t="s">
        <v>303</v>
      </c>
      <c r="B305">
        <v>0</v>
      </c>
    </row>
    <row r="306" spans="1:2" x14ac:dyDescent="0.35">
      <c r="A306" t="s">
        <v>304</v>
      </c>
      <c r="B306">
        <v>0</v>
      </c>
    </row>
    <row r="307" spans="1:2" x14ac:dyDescent="0.35">
      <c r="A307" t="s">
        <v>305</v>
      </c>
      <c r="B307">
        <v>0</v>
      </c>
    </row>
    <row r="308" spans="1:2" x14ac:dyDescent="0.35">
      <c r="A308" t="s">
        <v>306</v>
      </c>
      <c r="B308">
        <v>0</v>
      </c>
    </row>
  </sheetData>
  <autoFilter ref="A1:B308" xr:uid="{B57BB53C-F67C-4DA6-B33C-E2693DF1EC3E}">
    <sortState xmlns:xlrd2="http://schemas.microsoft.com/office/spreadsheetml/2017/richdata2" ref="A2:B308">
      <sortCondition ref="A1:A3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Feuil3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v</dc:creator>
  <cp:lastModifiedBy>a v</cp:lastModifiedBy>
  <dcterms:created xsi:type="dcterms:W3CDTF">2021-06-09T12:09:26Z</dcterms:created>
  <dcterms:modified xsi:type="dcterms:W3CDTF">2021-06-10T11:49:05Z</dcterms:modified>
</cp:coreProperties>
</file>